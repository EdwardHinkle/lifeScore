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png" ContentType="image/p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6505" codeName="{7A2D7E96-6E34-419A-AE5F-296B3A7E7977}"/>
  <workbookPr showInkAnnotation="0" codeName="ThisWorkbook"/>
  <mc:AlternateContent xmlns:mc="http://schemas.openxmlformats.org/markup-compatibility/2006">
    <mc:Choice Requires="x15">
      <x15ac:absPath xmlns:x15ac="http://schemas.microsoft.com/office/spreadsheetml/2010/11/ac" url="/Users/michaelhyatt/Google Drive (DAR)/DAR/Revenue Sources/Courses/Best Year Ever/BYE - LifeScore™ Assessment/"/>
    </mc:Choice>
  </mc:AlternateContent>
  <bookViews>
    <workbookView xWindow="11200" yWindow="5400" windowWidth="28800" windowHeight="18000"/>
  </bookViews>
  <sheets>
    <sheet name="Start Here" sheetId="6" r:id="rId1"/>
    <sheet name="Assessment" sheetId="9" r:id="rId2"/>
    <sheet name="ControlPanel" sheetId="7" state="hidden" r:id="rId3"/>
    <sheet name="RadarChart" sheetId="8" state="hidden" r:id="rId4"/>
  </sheets>
  <definedNames>
    <definedName name="LSCounter">ControlPanel!$B$15</definedName>
    <definedName name="_xlnm.Print_Area" localSheetId="1">Assessment!$A$1:$AD$115</definedName>
    <definedName name="_xlnm.Print_Area" localSheetId="0">'Start Here'!$A$1:$M$100</definedName>
    <definedName name="_xlnm.Print_Titles" localSheetId="1">Assessment!$14:$14</definedName>
    <definedName name="TotalDomains">ControlPanel!$B$16</definedName>
    <definedName name="Version">ControlPanel!$B$14</definedName>
  </definedNames>
  <calcPr calcId="15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B12" i="6" l="1"/>
  <c r="D6" i="7"/>
  <c r="D7" i="7"/>
  <c r="D8" i="7"/>
  <c r="D9" i="7"/>
  <c r="D10" i="7"/>
  <c r="D11" i="7"/>
  <c r="D2" i="7"/>
  <c r="D3" i="7"/>
  <c r="D4" i="7"/>
  <c r="D5" i="7"/>
  <c r="B16" i="7"/>
  <c r="Z4" i="9"/>
  <c r="G3" i="7"/>
  <c r="G4" i="7"/>
  <c r="G5" i="7"/>
  <c r="G6" i="7"/>
  <c r="G7" i="7"/>
  <c r="G8" i="7"/>
  <c r="G9" i="7"/>
  <c r="G10" i="7"/>
  <c r="G11" i="7"/>
  <c r="F3" i="7"/>
  <c r="F4" i="7"/>
  <c r="F5" i="7"/>
  <c r="F6" i="7"/>
  <c r="F7" i="7"/>
  <c r="F8" i="7"/>
  <c r="F9" i="7"/>
  <c r="F10" i="7"/>
  <c r="F11" i="7"/>
  <c r="E3" i="7"/>
  <c r="E4" i="7"/>
  <c r="E5" i="7"/>
  <c r="E6" i="7"/>
  <c r="E7" i="7"/>
  <c r="E8" i="7"/>
  <c r="E9" i="7"/>
  <c r="E10" i="7"/>
  <c r="E11" i="7"/>
  <c r="AC16" i="9"/>
  <c r="AC26" i="9"/>
  <c r="AC36" i="9"/>
  <c r="AC46" i="9"/>
  <c r="AC56" i="9"/>
  <c r="AC66" i="9"/>
  <c r="AC76" i="9"/>
  <c r="AC86" i="9"/>
  <c r="AC96" i="9"/>
  <c r="AC106" i="9"/>
  <c r="AB11" i="9"/>
  <c r="Y11" i="9"/>
  <c r="B106" i="9"/>
  <c r="B96" i="9"/>
  <c r="B86" i="9"/>
  <c r="B76" i="9"/>
  <c r="B66" i="9"/>
  <c r="B56" i="9"/>
  <c r="B46" i="9"/>
  <c r="B36" i="9"/>
  <c r="B26" i="9"/>
  <c r="B16" i="9"/>
</calcChain>
</file>

<file path=xl/sharedStrings.xml><?xml version="1.0" encoding="utf-8"?>
<sst xmlns="http://schemas.openxmlformats.org/spreadsheetml/2006/main" count="128" uniqueCount="101">
  <si>
    <t>Current</t>
  </si>
  <si>
    <t>Prior</t>
  </si>
  <si>
    <t>SPIRITUAL</t>
  </si>
  <si>
    <t>INTELLECTUAL</t>
  </si>
  <si>
    <t>PHYSICAL</t>
  </si>
  <si>
    <t>MARITAL</t>
  </si>
  <si>
    <t>PARENTAL</t>
  </si>
  <si>
    <t>SOCIAL</t>
  </si>
  <si>
    <t>VOCATIONAL</t>
  </si>
  <si>
    <t>AVOCATIONAL</t>
  </si>
  <si>
    <t>FINANCIAL</t>
  </si>
  <si>
    <t>Change</t>
  </si>
  <si>
    <t xml:space="preserve"> LIFE DOMAINS</t>
  </si>
  <si>
    <t>Name</t>
  </si>
  <si>
    <t>Date</t>
  </si>
  <si>
    <t>BEING</t>
  </si>
  <si>
    <t>RELATING</t>
  </si>
  <si>
    <t>DOING</t>
  </si>
  <si>
    <t>EMOTIONAL</t>
  </si>
  <si>
    <t>I feel disconnected from God. I am not taking any initiative to pursue spiritual development. I feel rudderless and wonder if my life even matters. I am not part of any faith community.</t>
  </si>
  <si>
    <t>I feel connected to God. I actively pursue spiritual development. I feel my life has meaning and purpose. I am an active participant in my faith community.</t>
  </si>
  <si>
    <t>I am content with what I know and am not interested in growing further. I don’t regularly consume new content. I don’t attend conferences or workshops. I don’t allocate any money for ongoing education or training.</t>
  </si>
  <si>
    <t>I am often sad and don’t have much energy. I struggle with low self-esteem and worry. I am often stressed and use alcohol, drugs, or other addictive behaviors to deal with it. I often find myself angry and resentful of others.</t>
  </si>
  <si>
    <t>I have good days and bad. I struggle with occasional low self-esteem and worry. I occasionally indulge in alcohol, drugs, or other addictive behaviors. I get angry more than I would like and sometimes hold grudges.</t>
  </si>
  <si>
    <t>I am generally happy and upbeat. I am confident and rarely worry. I manage stress in a healthy way. I give others the benefit of the doubt and am quick to forgive.</t>
  </si>
  <si>
    <t>I am usually tired and feel lethargic. I eat too much sugar and processed food. I don’t take any supplements. I do not exercise regularly.</t>
  </si>
  <si>
    <t>I don’t get adequate rest during the week but try to catch up on the weekend. I vacillate between eating well and eating junk. I take a multivitamin occasionally. I workout occasionally but am not as consistent as I should be.</t>
  </si>
  <si>
    <t>I get plenty of sleep. I eat healthy, nutritious meals. I take supplements as needed. I workout at least five times a week.</t>
  </si>
  <si>
    <t>I am no longer in love with my spouse and am considering divorce. I can hardly stand to be in the same room with my spouse. I am frustrated with my spouse and don’t understand why he/she can’t change. We experience a lot of conflict and continue to drift further and further apart.</t>
  </si>
  <si>
    <t>I don’t love my spouse as much as I once did. Little by little, we are growing apart. We tried counseling, but nothing really changed. We fight more than we should, and we don’t always resolve it.</t>
  </si>
  <si>
    <t>I love my spouse more with each passing day. My spouse and I tell each other everything and actively seek one another’s counsel. My spouse and I want our marriage to be the best it can possibly be and invest in making it better. We experience little conflict, because we seek first to understand rather than to be understood.</t>
  </si>
  <si>
    <t>I don’t really enjoy being a parent. If I am honest, wish I had never had children. I don’t feel prepared to be a parent. My children are a major source of conflict and stress.</t>
  </si>
  <si>
    <t>I enjoy being a parent and find it it rewarding. I love my children and routinely affirm them for their positive character traits and personal accomplishments. My children feel safe to admit their mistakes and failures. When we experience conflict, we are able to resolve it in a healthy way.</t>
  </si>
  <si>
    <t>I love being a parent and know it’s my most important work. I love my children and enjoy spending time with them. My children feel comfortable sharing their deepest desires and greatest fears. When we experience conflict, we resolve it in a way that leads to greater intimacy.</t>
  </si>
  <si>
    <t>I don’t have a best friend. I don’t have any friends outside of work. I often feel lonely and spend my time online, watching TV, or indulging in unhealthy behavior. Many of my past friendships have ended over unresolved conflict.</t>
  </si>
  <si>
    <t>I don’t really have a best friend, but I have a few close friends. Most of my friends are people I work with. I enjoy being with my friends, but I don’t spend as much time with them as I would like. I sometimes experience conflict with my friends and am not always able to resolve it.</t>
  </si>
  <si>
    <t>I have a best friend who accepts me for who I am. I have a close circle of friends with whom I meet regularly. I enjoy being with my friends and feel refreshed and energized whenever we are together. When I experience conflict with my friends, we are able to resolve it in a healthy way.</t>
  </si>
  <si>
    <t>I have a best friend with whom I can share my biggest dreams and my greatest fears. My spouse and I have a close circle of friends with whom we “do life.” I can’t wait to spend time with my friends. My relationships are one of my greatest sources of joy. When we experience conflict, we resolve it in a way that leads to greater intimacy.</t>
  </si>
  <si>
    <t>I hate my job and wish I could find something else to do. I dread going to work and live for the weekends. I feel like I am going backwards in my vocation. I am not happy with my level of income.</t>
  </si>
  <si>
    <t>I like some parts of my work, but I dislike others. I don’t mind work, but I don’t particularly look forward to it either. I feel like I am stuck in my vocation. I wish I made more money.</t>
  </si>
  <si>
    <t>I love my work and am confident I am making a big impact in the world. I am at the top of my game and am the recognized leader in my industry. I am growing faster than I ever thought possible and find the pace exhilarating. I am making more money than I need and love having the margin to invest in the future and in worthy causes.</t>
  </si>
  <si>
    <t>I have all the time I need to pursue interests outside of work. I have a hobby that I could probably turn into a vocation if I wanted. I have a group of fellow-enthusiasts that I enjoy spending time with in the pursuit of our hobby. I am involved in a leadership role in a non-profit charity, school, or ministry that is changing the world.</t>
  </si>
  <si>
    <t xml:space="preserve">I don’t have time to pursue interests outside of work and family. I don’t have any hobbies nor do I have the time if I did. I am not involved in any significant way in civic or church activities. My life consists of work and family—that’s pretty much it.
</t>
  </si>
  <si>
    <t>I occasionally do something enjoyable that is unrelated to work or family. I have a hobby I would love to pursue if I could just find time. I have a few friends involved in this hobby and know I would enjoy spending time with them. I am involved in a limited way in a non-profit charity, school, or ministry.</t>
  </si>
  <si>
    <t>I have the time to pursue interests outside of work and family. I have a hobby or hobbies I enjoy doing in my free time. I often pursue these hobbies with other like-minded people. I am involved in a non-profit charity, school, or ministry where I can use my talents to further the cause.</t>
  </si>
  <si>
    <t>I worry constantly about my finances and am fearful about the future. I do not make enough money to cover my family’s basic needs. I am not really saving anything for retirement—or anything else. I am deeply in debt and don’t currently see a way out.</t>
  </si>
  <si>
    <t>I frequently worry about my finances and what might happen if something catastrophic happens. I barely make enough to cover my family’s basic needs. I am saving a little for retirement and other needs, but I know it should be more. I am struggling to pay off my debts but am making progress.</t>
  </si>
  <si>
    <t>I feel in control of my finances and am at peace with my station in life. I make enough money to fund my chosen lifestyle, save for the future, and give to charitable causes. I do not have any consumer debt other than my mortgage. My net worth is growing and I feel confident about my financial future.</t>
  </si>
  <si>
    <t>I rarely think about my finances because I have all the bases covered. I make more than enough money for my needs and am able to give generously to causes that matter. I don’t have any debt, not even a mortgage. My net worth is more than I could have imagined a few years ago and feel it will continue to grow.</t>
  </si>
  <si>
    <t>I wish I felt more connected to God than I do. I am not as consistent as I would like in pursuing spiritual development. I believe I was created for a purpose; I just don’t know what it is. I am somewhat active in a faith community.</t>
  </si>
  <si>
    <t>I am constantly aware of God’s presence in my life. I am consistent in my spiritual disciplines. I am clear about my purpose and how it relates to God’s larger story. I’m a contributing leader in my faith community.</t>
  </si>
  <si>
    <t>I am a voracious learner. I can’t seem to get enough new content. I am a conference and workshop junkie. I highly value ongoing education and consider each expense an investment.</t>
  </si>
  <si>
    <t>OrigNumber</t>
  </si>
  <si>
    <t>RevisedNumber</t>
  </si>
  <si>
    <t>Value</t>
  </si>
  <si>
    <t>StartRow</t>
  </si>
  <si>
    <t>EndRow</t>
  </si>
  <si>
    <t>Counter</t>
  </si>
  <si>
    <t>ScoreRow</t>
  </si>
  <si>
    <t>Your Current LifeScore™</t>
  </si>
  <si>
    <t>Previous</t>
  </si>
  <si>
    <t>Configure the assessment.</t>
  </si>
  <si>
    <t>Score each domain, one at a time.</t>
  </si>
  <si>
    <t>Use your score(s) to make improvements.</t>
  </si>
  <si>
    <t>I am occasionally curious but find learning a chore. I am an irregular consumer of new content (e.g., blogs, podcasts, books, etc.). I might attend a conference or workshop here and there. I occasionally buy a book or attend a conference.</t>
  </si>
  <si>
    <t>I am curious and enjoy learning. I am a regular consumer of new content. I attend conferences and workshops. I have a budget for ongoing education and training.</t>
  </si>
  <si>
    <t>I am almost always happy. I am confident and optimistic about the future. I don’t experience any significant stress. I empathize with other’s struggles and shortcomings.</t>
  </si>
  <si>
    <t>I enjoy my work and feel I am making a positive impact on the world. I am recognized as a leader in my chosen profession and enjoy the recognition of my peers. I am progressing in my chosen vocation in a way that gives me a sense of momentum. I am happy with my level of income.</t>
  </si>
  <si>
    <t>I sometimes enjoy being a parent but find it challenging. I love my children, but I often focus on their faults and mistakes. My children rarely admit their mistakes and sometimes lie to cover them up. We experience frequent conflict but are usually unable to resolve it without hurt feelings.</t>
  </si>
  <si>
    <t>I am in love with my spouse. I consider my spouse to be my best friend. I actively seek to improve my marriage so I can become a better partner. When we experience conflict, we are able to resolve it in a healthy way.</t>
  </si>
  <si>
    <t>If Your Life Were a Game, What Would the Score Be?</t>
  </si>
  <si>
    <t>The assessment is very easy to use. Here are step-by-step instructions. You may want to print these out for easy reference.</t>
  </si>
  <si>
    <t>Once you have entered your “Current” score for each domain, go back through and enter values in the “Prior” column. If this is your first time to complete the LifeScore™ Assessment, you might enter a value that represents where you were last year. We recommend that you take the assessment on a quarterly basis or, at a minimum, on an annual basis. In the future, you will be able to use the “Configure Assessment” button to automatically copy the values in the “Current” column to the “Prior” ones.</t>
  </si>
  <si>
    <t>I see my body as a gift and consistently make healthy choices to care of it. I wake up well rested. I eat a balanced diet of unprocessed, organic food. I have a dialed-in, consistent fitness routine that gives me energy and strength. Unhealthy behaviors are rarely, if ever, a temptation for me.</t>
  </si>
  <si>
    <t>Now that you have your LifeScore,™ what does it mean?</t>
  </si>
  <si>
    <t>•</t>
  </si>
  <si>
    <t>Process control expert H. James Harrington said, “Measurement is the first step that leads to control and eventually to improvement. If you can’t measure something, you can’t under- stand it. If you can’t understand it, you can’t control it. If you can’t control it, you can’t improve it.”</t>
  </si>
  <si>
    <t>You have now taken the first step. By measuring where you are in each of the major life domains, you are on the road to improvement. Whether you are struggling in several domains or just a few, it is important that you realize you have the power to change your trajectory and create the life you want.</t>
  </si>
  <si>
    <t>Some have used the course to lose massive amounts of weight and get in the best shape of their life.</t>
  </si>
  <si>
    <t xml:space="preserve">Others have used the course to rebuild a marriage and experience a level of intimacy they’ve never known before. </t>
  </si>
  <si>
    <t>Still others have used the course to get a promotion, start a business, or write a book.</t>
  </si>
  <si>
    <t>Regardless, thousands have experience extraordinary results. We will be opening registration for the all new 2016 edition of the course in a few weeks. Sign up now to get your name on the waiting list. We will notify you as soon as the course is available. Click the link below.</t>
  </si>
  <si>
    <t>Sign Up for the Best Year Ever Waiting List</t>
  </si>
  <si>
    <t>What It Means</t>
  </si>
  <si>
    <t>Your Score</t>
  </si>
  <si>
    <t>You need help. If you are not already in crisis, you are headed towards one. The good news is that all that can change, but it requires you give immediate attention to those areas where you have the lowest scores. You need clear goals and a plan for improvement.</t>
  </si>
  <si>
    <t xml:space="preserve">You can read more about the rationale behind this tool on my blog: </t>
  </si>
  <si>
    <t>You have some work to do. But don’t beat yourself up. Focus on where are you strong. Build on your momentum there in order to tackle those domains where you are struggling. Again, you need clear goals and a plan for improvement.</t>
  </si>
  <si>
    <t>You’re on track. Congratulations! You’re experiencing success in multiple areas. But don’t coast. Now is the time to capitalize on your momentum. Shore up those domains where you might not be doing as well, while continuing to make steady progress in those domains where you are strong.</t>
  </si>
  <si>
    <t>You’re obviously doing a great job. But, you didn’t get to this level by accident. You are someone who is intentional and proactive. You also aren’t the kind of person to rest on your laurels. The key now is to realize that there’s a whole new level that of growth and achievement you haven’t even thought about yet.</t>
  </si>
  <si>
    <t>Please note: All LifeScores™ are on a scale from 0–120. If you omit a life domain, your individual domain rankings won’t total your score, but your score will still be accurate.</t>
  </si>
  <si>
    <t>Version</t>
  </si>
  <si>
    <t>Domains</t>
  </si>
  <si>
    <r>
      <t xml:space="preserve">Do this by clicking on the </t>
    </r>
    <r>
      <rPr>
        <b/>
        <sz val="12"/>
        <color theme="1" tint="0.34998626667073579"/>
        <rFont val="Calibri"/>
        <family val="2"/>
        <scheme val="minor"/>
      </rPr>
      <t>Configure Assessment</t>
    </r>
    <r>
      <rPr>
        <sz val="12"/>
        <color theme="1" tint="0.34998626667073579"/>
        <rFont val="Calibri"/>
        <family val="2"/>
        <scheme val="minor"/>
      </rPr>
      <t xml:space="preserve"> button below. Select the life domains that are relevant to you. For most people, this will be all ten. However, if you are not married, you can uncheck the </t>
    </r>
    <r>
      <rPr>
        <i/>
        <sz val="12"/>
        <color theme="1" tint="0.34998626667073579"/>
        <rFont val="Calibri"/>
        <family val="2"/>
        <scheme val="minor"/>
      </rPr>
      <t>Marital</t>
    </r>
    <r>
      <rPr>
        <sz val="12"/>
        <color theme="1" tint="0.34998626667073579"/>
        <rFont val="Calibri"/>
        <family val="2"/>
        <scheme val="minor"/>
      </rPr>
      <t xml:space="preserve"> domain. If you don’t have children, you can uncheck the </t>
    </r>
    <r>
      <rPr>
        <i/>
        <sz val="12"/>
        <color theme="1" tint="0.34998626667073579"/>
        <rFont val="Calibri"/>
        <family val="2"/>
        <scheme val="minor"/>
      </rPr>
      <t>Parental</t>
    </r>
    <r>
      <rPr>
        <sz val="12"/>
        <color theme="1" tint="0.34998626667073579"/>
        <rFont val="Calibri"/>
        <family val="2"/>
        <scheme val="minor"/>
      </rPr>
      <t xml:space="preserve"> domain. When you are done, click the </t>
    </r>
    <r>
      <rPr>
        <b/>
        <sz val="12"/>
        <color theme="1" tint="0.34998626667073579"/>
        <rFont val="Calibri"/>
        <family val="2"/>
        <scheme val="minor"/>
      </rPr>
      <t>OK</t>
    </r>
    <r>
      <rPr>
        <sz val="12"/>
        <color theme="1" tint="0.34998626667073579"/>
        <rFont val="Calibri"/>
        <family val="2"/>
        <scheme val="minor"/>
      </rPr>
      <t xml:space="preserve"> button. You will be taken to the </t>
    </r>
    <r>
      <rPr>
        <i/>
        <sz val="12"/>
        <color theme="1" tint="0.34998626667073579"/>
        <rFont val="Calibri"/>
        <family val="2"/>
        <scheme val="minor"/>
      </rPr>
      <t>Assessment</t>
    </r>
    <r>
      <rPr>
        <sz val="12"/>
        <color theme="1" tint="0.34998626667073579"/>
        <rFont val="Calibri"/>
        <family val="2"/>
        <scheme val="minor"/>
      </rPr>
      <t xml:space="preserve"> page.</t>
    </r>
  </si>
  <si>
    <r>
      <t xml:space="preserve">Read the four statements and select a score from 1 to 12 that most closely aligns with your current reality. Enter that score in the </t>
    </r>
    <r>
      <rPr>
        <i/>
        <sz val="12"/>
        <color theme="1" tint="0.34998626667073579"/>
        <rFont val="Calibri"/>
        <family val="2"/>
        <scheme val="minor"/>
      </rPr>
      <t>Current</t>
    </r>
    <r>
      <rPr>
        <sz val="12"/>
        <color theme="1" tint="0.34998626667073579"/>
        <rFont val="Calibri"/>
        <family val="2"/>
        <scheme val="minor"/>
      </rPr>
      <t xml:space="preserve"> column. For example, each statement has three possible scores. If you feel it describes where you are select the middle value. If you feel like you are at the bottom end of that level, select the bottom score. If you feel you are the top end of that level, select the top score. Don’t worry about 100 percent accuracy. This is a subjective, self-evaluation. The important thing is how you perceive yourself.</t>
    </r>
  </si>
  <si>
    <r>
      <t xml:space="preserve">This is exactly why I developed my online course, </t>
    </r>
    <r>
      <rPr>
        <i/>
        <sz val="12"/>
        <color theme="1" tint="0.34998626667073579"/>
        <rFont val="Calibri"/>
        <family val="2"/>
        <scheme val="minor"/>
      </rPr>
      <t>5 Days to Your Best Year Ever.</t>
    </r>
    <r>
      <rPr>
        <sz val="12"/>
        <color theme="1" tint="0.34998626667073579"/>
        <rFont val="Calibri"/>
        <family val="2"/>
        <scheme val="minor"/>
      </rPr>
      <t xml:space="preserve"> Almost 10,000 people have used it to create the results they want in every aspect of life.</t>
    </r>
  </si>
  <si>
    <t>0 - 30</t>
  </si>
  <si>
    <t>31 - 60</t>
  </si>
  <si>
    <t>61 - 90</t>
  </si>
  <si>
    <t>91 - 120</t>
  </si>
  <si>
    <t>Enter values for the prior period.</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</si>
</sst>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mm/dd/yyyy;@"/>
    <numFmt numFmtId="166" formatCode="#,##0."/>
  </numFmts>
  <fonts count="19" x14ac:knownFonts="1">
    <font>
      <sz val="12"/>
      <color theme="1"/>
      <name val="Calibri"/>
      <family val="2"/>
      <scheme val="minor"/>
    </font>
    <font>
      <u/>
      <sz val="12"/>
      <color theme="10"/>
      <name val="Calibri"/>
      <family val="2"/>
      <scheme val="minor"/>
    </font>
    <font>
      <u/>
      <sz val="12"/>
      <color theme="11"/>
      <name val="Calibri"/>
      <family val="2"/>
      <scheme val="minor"/>
    </font>
    <font>
      <sz val="8"/>
      <name val="Calibri"/>
      <family val="2"/>
      <scheme val="minor"/>
    </font>
    <font>
      <sz val="12"/>
      <color theme="1" tint="0.34998626667073579"/>
      <name val="Calibri"/>
      <family val="2"/>
      <scheme val="minor"/>
    </font>
    <font>
      <sz val="102"/>
      <color theme="0"/>
      <name val="Calibri Light"/>
      <family val="2"/>
      <scheme val="major"/>
    </font>
    <font>
      <b/>
      <sz val="14"/>
      <color theme="1" tint="0.34998626667073579"/>
      <name val="Calibri"/>
      <family val="2"/>
      <scheme val="minor"/>
    </font>
    <font>
      <sz val="14"/>
      <color theme="1" tint="0.34998626667073579"/>
      <name val="Calibri"/>
      <family val="2"/>
      <scheme val="minor"/>
    </font>
    <font>
      <i/>
      <sz val="12"/>
      <color rgb="FF138E9C"/>
      <name val="Calibri"/>
      <family val="2"/>
      <scheme val="minor"/>
    </font>
    <font>
      <u/>
      <sz val="12"/>
      <color rgb="FF138E9C"/>
      <name val="Calibri"/>
      <family val="2"/>
      <scheme val="minor"/>
    </font>
    <font>
      <u/>
      <sz val="12"/>
      <color theme="1" tint="0.34998626667073579"/>
      <name val="Calibri"/>
      <family val="2"/>
      <scheme val="minor"/>
    </font>
    <font>
      <b/>
      <sz val="12"/>
      <color theme="1" tint="0.34998626667073579"/>
      <name val="Calibri"/>
      <family val="2"/>
      <scheme val="minor"/>
    </font>
    <font>
      <i/>
      <sz val="12"/>
      <color theme="1" tint="0.34998626667073579"/>
      <name val="Calibri"/>
      <family val="2"/>
      <scheme val="minor"/>
    </font>
    <font>
      <sz val="18"/>
      <color theme="1" tint="0.34998626667073579"/>
      <name val="Calibri"/>
      <family val="2"/>
      <scheme val="minor"/>
    </font>
    <font>
      <b/>
      <sz val="24"/>
      <color theme="1" tint="0.34998626667073579"/>
      <name val="Calibri"/>
      <family val="2"/>
      <scheme val="minor"/>
    </font>
    <font>
      <sz val="21"/>
      <color theme="1" tint="0.34998626667073579"/>
      <name val="Calibri"/>
      <family val="2"/>
      <scheme val="minor"/>
    </font>
    <font>
      <sz val="20"/>
      <color theme="1" tint="0.34998626667073579"/>
      <name val="Calibri"/>
      <family val="2"/>
      <scheme val="minor"/>
    </font>
    <font>
      <sz val="10"/>
      <color theme="1" tint="0.34998626667073579"/>
      <name val="Calibri"/>
      <family val="2"/>
      <scheme val="minor"/>
    </font>
    <font>
      <sz val="24"/>
      <color theme="1" tint="0.34998626667073579"/>
      <name val="Calibri Light"/>
      <family val="2"/>
      <scheme val="major"/>
    </font>
  </fonts>
  <fills count="1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F88C69"/>
        <bgColor indexed="64"/>
      </patternFill>
    </fill>
    <fill>
      <patternFill patternType="solid">
        <fgColor rgb="FFFEF3F0"/>
        <bgColor indexed="64"/>
      </patternFill>
    </fill>
    <fill>
      <patternFill patternType="solid">
        <fgColor rgb="FFFBD5CB"/>
        <bgColor indexed="64"/>
      </patternFill>
    </fill>
    <fill>
      <patternFill patternType="solid">
        <fgColor rgb="FFEAF5F6"/>
        <bgColor indexed="64"/>
      </patternFill>
    </fill>
    <fill>
      <patternFill patternType="solid">
        <fgColor rgb="FFB6DCE0"/>
        <bgColor indexed="64"/>
      </patternFill>
    </fill>
    <fill>
      <patternFill patternType="solid">
        <fgColor rgb="FFF37757"/>
        <bgColor indexed="64"/>
      </patternFill>
    </fill>
    <fill>
      <patternFill patternType="solid">
        <fgColor rgb="FF138E9C"/>
        <bgColor indexed="64"/>
      </patternFill>
    </fill>
    <fill>
      <patternFill patternType="solid">
        <fgColor rgb="FFFCD6CC"/>
        <bgColor indexed="64"/>
      </patternFill>
    </fill>
    <fill>
      <patternFill patternType="solid">
        <fgColor rgb="FFB6DCE1"/>
        <bgColor indexed="64"/>
      </patternFill>
    </fill>
    <fill>
      <patternFill patternType="solid">
        <fgColor rgb="FFD9D9D9"/>
        <bgColor indexed="64"/>
      </patternFill>
    </fill>
  </fills>
  <borders count="26">
    <border>
      <left/>
      <right/>
      <top/>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style="thin">
        <color theme="0"/>
      </right>
      <top style="thin">
        <color theme="0" tint="-0.34998626667073579"/>
      </top>
      <bottom style="thin">
        <color theme="0" tint="-0.34998626667073579"/>
      </bottom>
      <diagonal/>
    </border>
    <border>
      <left style="thin">
        <color theme="0"/>
      </left>
      <right style="thin">
        <color theme="0"/>
      </right>
      <top style="thin">
        <color theme="0" tint="-0.34998626667073579"/>
      </top>
      <bottom style="thin">
        <color theme="0" tint="-0.34998626667073579"/>
      </bottom>
      <diagonal/>
    </border>
    <border>
      <left style="thin">
        <color theme="0"/>
      </left>
      <right/>
      <top style="thin">
        <color theme="0" tint="-0.34998626667073579"/>
      </top>
      <bottom style="thin">
        <color theme="0" tint="-0.34998626667073579"/>
      </bottom>
      <diagonal/>
    </border>
    <border>
      <left style="thin">
        <color rgb="FFF37757"/>
      </left>
      <right/>
      <top style="thin">
        <color rgb="FFF37757"/>
      </top>
      <bottom/>
      <diagonal/>
    </border>
    <border>
      <left/>
      <right/>
      <top style="thin">
        <color rgb="FFF37757"/>
      </top>
      <bottom/>
      <diagonal/>
    </border>
    <border>
      <left/>
      <right style="thin">
        <color rgb="FFF37757"/>
      </right>
      <top style="thin">
        <color rgb="FFF37757"/>
      </top>
      <bottom/>
      <diagonal/>
    </border>
    <border>
      <left style="thin">
        <color rgb="FFF37757"/>
      </left>
      <right/>
      <top/>
      <bottom/>
      <diagonal/>
    </border>
    <border>
      <left/>
      <right style="thin">
        <color rgb="FFF37757"/>
      </right>
      <top/>
      <bottom/>
      <diagonal/>
    </border>
    <border>
      <left style="thin">
        <color rgb="FFF37757"/>
      </left>
      <right/>
      <top/>
      <bottom style="thin">
        <color rgb="FFF37757"/>
      </bottom>
      <diagonal/>
    </border>
    <border>
      <left/>
      <right/>
      <top/>
      <bottom style="thin">
        <color rgb="FFF37757"/>
      </bottom>
      <diagonal/>
    </border>
    <border>
      <left/>
      <right style="thin">
        <color rgb="FFF37757"/>
      </right>
      <top/>
      <bottom style="thin">
        <color rgb="FFF37757"/>
      </bottom>
      <diagonal/>
    </border>
  </borders>
  <cellStyleXfs count="92">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216">
    <xf numFmtId="0" fontId="0" fillId="0" borderId="0" xfId="0"/>
    <xf numFmtId="0" fontId="4" fillId="3" borderId="0" xfId="0" applyFont="1" applyFill="1" applyProtection="1">
      <protection hidden="1"/>
    </xf>
    <xf numFmtId="0" fontId="6" fillId="2" borderId="4" xfId="0" applyFont="1" applyFill="1" applyBorder="1" applyAlignment="1" applyProtection="1">
      <alignment vertical="center"/>
      <protection hidden="1"/>
    </xf>
    <xf numFmtId="0" fontId="6" fillId="2" borderId="8" xfId="0" applyFont="1" applyFill="1" applyBorder="1" applyProtection="1">
      <protection hidden="1"/>
    </xf>
    <xf numFmtId="0" fontId="6" fillId="2" borderId="9" xfId="0" applyFont="1" applyFill="1" applyBorder="1" applyProtection="1">
      <protection hidden="1"/>
    </xf>
    <xf numFmtId="0" fontId="6" fillId="6" borderId="4" xfId="0" applyFont="1" applyFill="1" applyBorder="1" applyAlignment="1" applyProtection="1">
      <alignment horizontal="center" vertical="center"/>
      <protection hidden="1"/>
    </xf>
    <xf numFmtId="0" fontId="6" fillId="6" borderId="15" xfId="0" applyFont="1" applyFill="1" applyBorder="1" applyAlignment="1" applyProtection="1">
      <alignment horizontal="center" vertical="center"/>
      <protection hidden="1"/>
    </xf>
    <xf numFmtId="0" fontId="6" fillId="6" borderId="16" xfId="0" applyFont="1" applyFill="1" applyBorder="1" applyAlignment="1" applyProtection="1">
      <alignment horizontal="center" vertical="center"/>
      <protection hidden="1"/>
    </xf>
    <xf numFmtId="0" fontId="6" fillId="6" borderId="17" xfId="0" applyFont="1" applyFill="1" applyBorder="1" applyAlignment="1" applyProtection="1">
      <alignment horizontal="center" vertical="center"/>
      <protection hidden="1"/>
    </xf>
    <xf numFmtId="0" fontId="6" fillId="6" borderId="5" xfId="0" applyFont="1" applyFill="1" applyBorder="1" applyAlignment="1" applyProtection="1">
      <alignment horizontal="center" vertical="center"/>
      <protection hidden="1"/>
    </xf>
    <xf numFmtId="0" fontId="6" fillId="3" borderId="1" xfId="0" applyFont="1" applyFill="1" applyBorder="1" applyAlignment="1" applyProtection="1">
      <alignment vertical="center" textRotation="90"/>
      <protection hidden="1"/>
    </xf>
    <xf numFmtId="0" fontId="6" fillId="3" borderId="1" xfId="0" applyFont="1" applyFill="1" applyBorder="1" applyProtection="1">
      <protection hidden="1"/>
    </xf>
    <xf numFmtId="0" fontId="6" fillId="3" borderId="8" xfId="0" applyFont="1" applyFill="1" applyBorder="1" applyProtection="1">
      <protection hidden="1"/>
    </xf>
    <xf numFmtId="0" fontId="6" fillId="3" borderId="9" xfId="0" applyFont="1" applyFill="1" applyBorder="1" applyProtection="1">
      <protection hidden="1"/>
    </xf>
    <xf numFmtId="0" fontId="6" fillId="5" borderId="10" xfId="0" applyFont="1" applyFill="1" applyBorder="1" applyAlignment="1" applyProtection="1">
      <alignment horizontal="center" vertical="center"/>
      <protection hidden="1"/>
    </xf>
    <xf numFmtId="0" fontId="6" fillId="5" borderId="8" xfId="0" applyFont="1" applyFill="1" applyBorder="1" applyAlignment="1" applyProtection="1">
      <alignment horizontal="center" vertical="center"/>
      <protection hidden="1"/>
    </xf>
    <xf numFmtId="0" fontId="6" fillId="5" borderId="9" xfId="0" applyFont="1" applyFill="1" applyBorder="1" applyAlignment="1" applyProtection="1">
      <alignment horizontal="center" vertical="center"/>
      <protection hidden="1"/>
    </xf>
    <xf numFmtId="0" fontId="6" fillId="3" borderId="3" xfId="0" applyFont="1" applyFill="1" applyBorder="1" applyAlignment="1" applyProtection="1">
      <alignment horizontal="center" vertical="top" wrapText="1"/>
      <protection hidden="1"/>
    </xf>
    <xf numFmtId="0" fontId="6" fillId="3" borderId="0" xfId="0" applyFont="1" applyFill="1" applyBorder="1" applyAlignment="1" applyProtection="1">
      <alignment horizontal="left" vertical="top" wrapText="1" indent="1"/>
      <protection hidden="1"/>
    </xf>
    <xf numFmtId="0" fontId="7" fillId="5" borderId="7" xfId="0" applyFont="1" applyFill="1" applyBorder="1" applyAlignment="1" applyProtection="1">
      <alignment vertical="top" wrapText="1"/>
      <protection hidden="1"/>
    </xf>
    <xf numFmtId="0" fontId="6" fillId="3" borderId="7" xfId="0" applyFont="1" applyFill="1" applyBorder="1" applyAlignment="1" applyProtection="1">
      <alignment horizontal="left" vertical="top" wrapText="1"/>
      <protection hidden="1"/>
    </xf>
    <xf numFmtId="0" fontId="7" fillId="3" borderId="7" xfId="0" applyFont="1" applyFill="1" applyBorder="1" applyAlignment="1" applyProtection="1">
      <alignment horizontal="center" vertical="top" wrapText="1"/>
      <protection hidden="1"/>
    </xf>
    <xf numFmtId="0" fontId="6" fillId="3" borderId="7" xfId="0" applyFont="1" applyFill="1" applyBorder="1" applyProtection="1">
      <protection hidden="1"/>
    </xf>
    <xf numFmtId="0" fontId="6" fillId="3" borderId="0" xfId="0" applyFont="1" applyFill="1" applyBorder="1" applyProtection="1">
      <protection hidden="1"/>
    </xf>
    <xf numFmtId="0" fontId="6" fillId="3" borderId="11" xfId="0" applyFont="1" applyFill="1" applyBorder="1" applyProtection="1">
      <protection hidden="1"/>
    </xf>
    <xf numFmtId="0" fontId="6" fillId="5" borderId="12" xfId="0" applyFont="1" applyFill="1" applyBorder="1" applyAlignment="1" applyProtection="1">
      <alignment horizontal="center" vertical="center"/>
      <protection hidden="1"/>
    </xf>
    <xf numFmtId="0" fontId="6" fillId="5" borderId="13" xfId="0" applyFont="1" applyFill="1" applyBorder="1" applyAlignment="1" applyProtection="1">
      <alignment horizontal="center" vertical="center"/>
      <protection hidden="1"/>
    </xf>
    <xf numFmtId="0" fontId="6" fillId="5" borderId="14" xfId="0" applyFont="1" applyFill="1" applyBorder="1" applyAlignment="1" applyProtection="1">
      <alignment horizontal="center" vertical="center"/>
      <protection hidden="1"/>
    </xf>
    <xf numFmtId="0" fontId="6" fillId="3" borderId="12" xfId="0" applyFont="1" applyFill="1" applyBorder="1" applyProtection="1">
      <protection hidden="1"/>
    </xf>
    <xf numFmtId="0" fontId="6" fillId="3" borderId="13" xfId="0" applyFont="1" applyFill="1" applyBorder="1" applyProtection="1">
      <protection hidden="1"/>
    </xf>
    <xf numFmtId="0" fontId="6" fillId="3" borderId="14" xfId="0" applyFont="1" applyFill="1" applyBorder="1" applyProtection="1">
      <protection hidden="1"/>
    </xf>
    <xf numFmtId="0" fontId="6" fillId="8" borderId="5" xfId="0" applyFont="1" applyFill="1" applyBorder="1" applyAlignment="1" applyProtection="1">
      <alignment horizontal="center" vertical="center"/>
      <protection hidden="1"/>
    </xf>
    <xf numFmtId="0" fontId="6" fillId="8" borderId="15" xfId="0" applyFont="1" applyFill="1" applyBorder="1" applyAlignment="1" applyProtection="1">
      <alignment horizontal="center" vertical="center"/>
      <protection hidden="1"/>
    </xf>
    <xf numFmtId="0" fontId="6" fillId="8" borderId="16" xfId="0" applyFont="1" applyFill="1" applyBorder="1" applyAlignment="1" applyProtection="1">
      <alignment horizontal="center" vertical="center"/>
      <protection hidden="1"/>
    </xf>
    <xf numFmtId="0" fontId="6" fillId="8" borderId="17" xfId="0" applyFont="1" applyFill="1" applyBorder="1" applyAlignment="1" applyProtection="1">
      <alignment horizontal="center" vertical="center"/>
      <protection hidden="1"/>
    </xf>
    <xf numFmtId="0" fontId="6" fillId="9" borderId="5" xfId="0" applyFont="1" applyFill="1" applyBorder="1" applyAlignment="1" applyProtection="1">
      <alignment horizontal="center" vertical="center"/>
      <protection hidden="1"/>
    </xf>
    <xf numFmtId="0" fontId="6" fillId="9" borderId="15" xfId="0" applyFont="1" applyFill="1" applyBorder="1" applyAlignment="1" applyProtection="1">
      <alignment horizontal="center" vertical="center"/>
      <protection hidden="1"/>
    </xf>
    <xf numFmtId="0" fontId="6" fillId="9" borderId="16" xfId="0" applyFont="1" applyFill="1" applyBorder="1" applyAlignment="1" applyProtection="1">
      <alignment horizontal="center" vertical="center"/>
      <protection hidden="1"/>
    </xf>
    <xf numFmtId="0" fontId="6" fillId="9" borderId="17" xfId="0" applyFont="1" applyFill="1" applyBorder="1" applyAlignment="1" applyProtection="1">
      <alignment horizontal="center" vertical="center"/>
      <protection hidden="1"/>
    </xf>
    <xf numFmtId="0" fontId="6" fillId="10" borderId="5" xfId="0" applyFont="1" applyFill="1" applyBorder="1" applyAlignment="1" applyProtection="1">
      <alignment horizontal="center" vertical="center"/>
      <protection hidden="1"/>
    </xf>
    <xf numFmtId="0" fontId="6" fillId="10" borderId="15" xfId="0" applyFont="1" applyFill="1" applyBorder="1" applyAlignment="1" applyProtection="1">
      <alignment horizontal="center" vertical="center"/>
      <protection hidden="1"/>
    </xf>
    <xf numFmtId="0" fontId="6" fillId="10" borderId="16" xfId="0" applyFont="1" applyFill="1" applyBorder="1" applyAlignment="1" applyProtection="1">
      <alignment horizontal="center" vertical="center"/>
      <protection hidden="1"/>
    </xf>
    <xf numFmtId="0" fontId="6" fillId="10" borderId="17" xfId="0" applyFont="1" applyFill="1" applyBorder="1" applyAlignment="1" applyProtection="1">
      <alignment horizontal="center" vertical="center"/>
      <protection hidden="1"/>
    </xf>
    <xf numFmtId="0" fontId="6" fillId="2" borderId="5" xfId="0" applyFont="1" applyFill="1" applyBorder="1" applyAlignment="1" applyProtection="1">
      <alignment horizontal="center" vertical="center"/>
      <protection hidden="1"/>
    </xf>
    <xf numFmtId="0" fontId="7" fillId="2" borderId="6" xfId="0" applyFont="1" applyFill="1" applyBorder="1" applyProtection="1">
      <protection hidden="1"/>
    </xf>
    <xf numFmtId="0" fontId="6" fillId="7" borderId="10" xfId="0" applyFont="1" applyFill="1" applyBorder="1" applyAlignment="1" applyProtection="1">
      <alignment horizontal="center" vertical="center"/>
      <protection hidden="1"/>
    </xf>
    <xf numFmtId="0" fontId="6" fillId="7" borderId="8" xfId="0" applyFont="1" applyFill="1" applyBorder="1" applyAlignment="1" applyProtection="1">
      <alignment horizontal="center" vertical="center"/>
      <protection hidden="1"/>
    </xf>
    <xf numFmtId="0" fontId="6" fillId="7" borderId="9" xfId="0" applyFont="1" applyFill="1" applyBorder="1" applyAlignment="1" applyProtection="1">
      <alignment horizontal="center" vertical="center"/>
      <protection hidden="1"/>
    </xf>
    <xf numFmtId="0" fontId="6" fillId="6" borderId="10" xfId="0" applyFont="1" applyFill="1" applyBorder="1" applyAlignment="1" applyProtection="1">
      <alignment horizontal="center" vertical="center"/>
      <protection hidden="1"/>
    </xf>
    <xf numFmtId="0" fontId="6" fillId="6" borderId="8" xfId="0" applyFont="1" applyFill="1" applyBorder="1" applyAlignment="1" applyProtection="1">
      <alignment horizontal="center" vertical="center"/>
      <protection hidden="1"/>
    </xf>
    <xf numFmtId="0" fontId="6" fillId="6" borderId="9" xfId="0" applyFont="1" applyFill="1" applyBorder="1" applyAlignment="1" applyProtection="1">
      <alignment horizontal="center" vertical="center"/>
      <protection hidden="1"/>
    </xf>
    <xf numFmtId="0" fontId="6" fillId="8" borderId="10" xfId="0" applyFont="1" applyFill="1" applyBorder="1" applyAlignment="1" applyProtection="1">
      <alignment horizontal="center" vertical="center"/>
      <protection hidden="1"/>
    </xf>
    <xf numFmtId="0" fontId="6" fillId="8" borderId="8" xfId="0" applyFont="1" applyFill="1" applyBorder="1" applyAlignment="1" applyProtection="1">
      <alignment horizontal="center" vertical="center"/>
      <protection hidden="1"/>
    </xf>
    <xf numFmtId="0" fontId="6" fillId="8" borderId="9" xfId="0" applyFont="1" applyFill="1" applyBorder="1" applyAlignment="1" applyProtection="1">
      <alignment horizontal="center" vertical="center"/>
      <protection hidden="1"/>
    </xf>
    <xf numFmtId="0" fontId="6" fillId="3" borderId="10" xfId="0" applyFont="1" applyFill="1" applyBorder="1" applyAlignment="1" applyProtection="1">
      <alignment horizontal="center" vertical="center"/>
      <protection hidden="1"/>
    </xf>
    <xf numFmtId="0" fontId="7" fillId="3" borderId="10" xfId="0" applyFont="1" applyFill="1" applyBorder="1" applyAlignment="1" applyProtection="1">
      <alignment vertical="center" wrapText="1"/>
    </xf>
    <xf numFmtId="0" fontId="7" fillId="3" borderId="9" xfId="0" applyFont="1" applyFill="1" applyBorder="1" applyAlignment="1" applyProtection="1">
      <alignment vertical="center" wrapText="1"/>
    </xf>
    <xf numFmtId="0" fontId="7" fillId="3" borderId="9" xfId="0" applyFont="1" applyFill="1" applyBorder="1" applyProtection="1">
      <protection hidden="1"/>
    </xf>
    <xf numFmtId="164" fontId="7" fillId="3" borderId="7" xfId="0" applyNumberFormat="1" applyFont="1" applyFill="1" applyBorder="1" applyAlignment="1" applyProtection="1">
      <alignment horizontal="center" vertical="center" wrapText="1"/>
      <protection hidden="1"/>
    </xf>
    <xf numFmtId="0" fontId="7" fillId="3" borderId="11" xfId="0" applyFont="1" applyFill="1" applyBorder="1" applyAlignment="1" applyProtection="1">
      <alignment vertical="top" wrapText="1"/>
      <protection hidden="1"/>
    </xf>
    <xf numFmtId="0" fontId="7" fillId="3" borderId="7" xfId="0" applyFont="1" applyFill="1" applyBorder="1" applyAlignment="1" applyProtection="1">
      <alignment vertical="top" wrapText="1"/>
      <protection hidden="1"/>
    </xf>
    <xf numFmtId="0" fontId="6" fillId="7" borderId="12" xfId="0" applyFont="1" applyFill="1" applyBorder="1" applyAlignment="1" applyProtection="1">
      <alignment horizontal="center" vertical="center"/>
      <protection hidden="1"/>
    </xf>
    <xf numFmtId="0" fontId="6" fillId="7" borderId="13" xfId="0" applyFont="1" applyFill="1" applyBorder="1" applyAlignment="1" applyProtection="1">
      <alignment horizontal="center" vertical="center"/>
      <protection hidden="1"/>
    </xf>
    <xf numFmtId="0" fontId="6" fillId="7" borderId="14" xfId="0" applyFont="1" applyFill="1" applyBorder="1" applyAlignment="1" applyProtection="1">
      <alignment horizontal="center" vertical="center"/>
      <protection hidden="1"/>
    </xf>
    <xf numFmtId="0" fontId="6" fillId="6" borderId="12" xfId="0" applyFont="1" applyFill="1" applyBorder="1" applyAlignment="1" applyProtection="1">
      <alignment horizontal="center" vertical="center"/>
      <protection hidden="1"/>
    </xf>
    <xf numFmtId="0" fontId="6" fillId="6" borderId="13" xfId="0" applyFont="1" applyFill="1" applyBorder="1" applyAlignment="1" applyProtection="1">
      <alignment horizontal="center" vertical="center"/>
      <protection hidden="1"/>
    </xf>
    <xf numFmtId="0" fontId="6" fillId="6" borderId="14" xfId="0" applyFont="1" applyFill="1" applyBorder="1" applyAlignment="1" applyProtection="1">
      <alignment horizontal="center" vertical="center"/>
      <protection hidden="1"/>
    </xf>
    <xf numFmtId="0" fontId="6" fillId="8" borderId="12" xfId="0" applyFont="1" applyFill="1" applyBorder="1" applyAlignment="1" applyProtection="1">
      <alignment horizontal="center" vertical="center"/>
      <protection hidden="1"/>
    </xf>
    <xf numFmtId="0" fontId="6" fillId="8" borderId="13" xfId="0" applyFont="1" applyFill="1" applyBorder="1" applyAlignment="1" applyProtection="1">
      <alignment horizontal="center" vertical="center"/>
      <protection hidden="1"/>
    </xf>
    <xf numFmtId="0" fontId="6" fillId="8" borderId="14" xfId="0" applyFont="1" applyFill="1" applyBorder="1" applyAlignment="1" applyProtection="1">
      <alignment horizontal="center" vertical="center"/>
      <protection hidden="1"/>
    </xf>
    <xf numFmtId="0" fontId="6" fillId="3" borderId="12" xfId="0" applyFont="1" applyFill="1" applyBorder="1" applyAlignment="1" applyProtection="1">
      <alignment horizontal="center" vertical="center"/>
      <protection hidden="1"/>
    </xf>
    <xf numFmtId="0" fontId="7" fillId="3" borderId="14" xfId="0" applyFont="1" applyFill="1" applyBorder="1" applyProtection="1">
      <protection hidden="1"/>
    </xf>
    <xf numFmtId="0" fontId="0" fillId="0" borderId="0" xfId="0" applyAlignment="1">
      <alignment vertical="center"/>
    </xf>
    <xf numFmtId="0" fontId="6" fillId="3" borderId="11" xfId="0" applyFont="1" applyFill="1" applyBorder="1" applyAlignment="1" applyProtection="1">
      <alignment horizontal="center" vertical="center" wrapText="1"/>
      <protection hidden="1"/>
    </xf>
    <xf numFmtId="0" fontId="7" fillId="5" borderId="11" xfId="0" applyFont="1" applyFill="1" applyBorder="1" applyAlignment="1" applyProtection="1">
      <alignment horizontal="center" vertical="top" wrapText="1"/>
      <protection hidden="1"/>
    </xf>
    <xf numFmtId="0" fontId="7" fillId="7" borderId="7" xfId="0" applyFont="1" applyFill="1" applyBorder="1" applyAlignment="1" applyProtection="1">
      <alignment horizontal="center" vertical="top" wrapText="1"/>
      <protection hidden="1"/>
    </xf>
    <xf numFmtId="0" fontId="7" fillId="7" borderId="11" xfId="0" applyFont="1" applyFill="1" applyBorder="1" applyAlignment="1" applyProtection="1">
      <alignment horizontal="center" vertical="top" wrapText="1"/>
      <protection hidden="1"/>
    </xf>
    <xf numFmtId="0" fontId="7" fillId="6" borderId="7" xfId="0" applyFont="1" applyFill="1" applyBorder="1" applyAlignment="1" applyProtection="1">
      <alignment horizontal="center" vertical="top" wrapText="1"/>
      <protection hidden="1"/>
    </xf>
    <xf numFmtId="0" fontId="7" fillId="6" borderId="11" xfId="0" applyFont="1" applyFill="1" applyBorder="1" applyAlignment="1" applyProtection="1">
      <alignment horizontal="center" vertical="top" wrapText="1"/>
      <protection hidden="1"/>
    </xf>
    <xf numFmtId="0" fontId="7" fillId="8" borderId="7" xfId="0" applyFont="1" applyFill="1" applyBorder="1" applyAlignment="1" applyProtection="1">
      <alignment horizontal="center" vertical="top" wrapText="1"/>
      <protection hidden="1"/>
    </xf>
    <xf numFmtId="0" fontId="7" fillId="3" borderId="0" xfId="0" applyFont="1" applyFill="1" applyBorder="1" applyAlignment="1" applyProtection="1">
      <alignment horizontal="center" vertical="top" wrapText="1"/>
      <protection hidden="1"/>
    </xf>
    <xf numFmtId="0" fontId="7" fillId="3" borderId="11" xfId="0" applyFont="1" applyFill="1" applyBorder="1" applyAlignment="1" applyProtection="1">
      <alignment horizontal="center" vertical="top" wrapText="1"/>
      <protection hidden="1"/>
    </xf>
    <xf numFmtId="0" fontId="6" fillId="3" borderId="14" xfId="0" applyFont="1" applyFill="1" applyBorder="1" applyAlignment="1" applyProtection="1">
      <alignment horizontal="center" vertical="center"/>
      <protection hidden="1"/>
    </xf>
    <xf numFmtId="0" fontId="6" fillId="3" borderId="9" xfId="0" applyFont="1" applyFill="1" applyBorder="1" applyAlignment="1" applyProtection="1">
      <alignment horizontal="center" vertical="center"/>
      <protection hidden="1"/>
    </xf>
    <xf numFmtId="0" fontId="7" fillId="3" borderId="11" xfId="0" applyFont="1" applyFill="1" applyBorder="1" applyAlignment="1" applyProtection="1">
      <alignment horizontal="center" vertical="center" wrapText="1"/>
      <protection locked="0"/>
    </xf>
    <xf numFmtId="0" fontId="7" fillId="8" borderId="11" xfId="0" applyFont="1" applyFill="1" applyBorder="1" applyAlignment="1" applyProtection="1">
      <alignment horizontal="center" vertical="top" wrapText="1"/>
      <protection hidden="1"/>
    </xf>
    <xf numFmtId="0" fontId="7" fillId="3" borderId="7" xfId="0" applyFont="1" applyFill="1" applyBorder="1" applyAlignment="1" applyProtection="1">
      <alignment horizontal="center" vertical="center" wrapText="1"/>
      <protection hidden="1"/>
    </xf>
    <xf numFmtId="164" fontId="7" fillId="3" borderId="11" xfId="0" applyNumberFormat="1" applyFont="1" applyFill="1" applyBorder="1" applyAlignment="1" applyProtection="1">
      <alignment horizontal="center" vertical="center" wrapText="1"/>
      <protection hidden="1"/>
    </xf>
    <xf numFmtId="0" fontId="6" fillId="2" borderId="17" xfId="0" applyFont="1" applyFill="1" applyBorder="1" applyAlignment="1" applyProtection="1">
      <alignment horizontal="center" vertical="center"/>
      <protection hidden="1"/>
    </xf>
    <xf numFmtId="0" fontId="6" fillId="2" borderId="15" xfId="0" applyFont="1" applyFill="1" applyBorder="1" applyAlignment="1" applyProtection="1">
      <alignment horizontal="center" vertical="center"/>
      <protection hidden="1"/>
    </xf>
    <xf numFmtId="0" fontId="4" fillId="3" borderId="0" xfId="0" applyFont="1" applyFill="1" applyProtection="1">
      <protection locked="0"/>
    </xf>
    <xf numFmtId="0" fontId="4" fillId="3" borderId="0" xfId="0" applyFont="1" applyFill="1" applyAlignment="1" applyProtection="1">
      <alignment horizontal="right"/>
    </xf>
    <xf numFmtId="0" fontId="4" fillId="3" borderId="0" xfId="0" applyFont="1" applyFill="1" applyProtection="1"/>
    <xf numFmtId="0" fontId="4" fillId="3" borderId="0" xfId="0" applyFont="1" applyFill="1" applyAlignment="1" applyProtection="1">
      <alignment vertical="top" wrapText="1"/>
    </xf>
    <xf numFmtId="0" fontId="4" fillId="3" borderId="0" xfId="0" applyFont="1" applyFill="1" applyAlignment="1" applyProtection="1">
      <alignment horizontal="left" vertical="top" wrapText="1"/>
    </xf>
    <xf numFmtId="0" fontId="10" fillId="3" borderId="0" xfId="67" applyFont="1" applyFill="1" applyAlignment="1" applyProtection="1"/>
    <xf numFmtId="166" fontId="11" fillId="3" borderId="0" xfId="0" applyNumberFormat="1" applyFont="1" applyFill="1" applyAlignment="1" applyProtection="1">
      <alignment horizontal="right"/>
    </xf>
    <xf numFmtId="0" fontId="11" fillId="3" borderId="0" xfId="0" applyFont="1" applyFill="1" applyProtection="1"/>
    <xf numFmtId="0" fontId="4" fillId="3" borderId="0" xfId="0" applyFont="1" applyFill="1" applyAlignment="1" applyProtection="1">
      <alignment horizontal="left"/>
    </xf>
    <xf numFmtId="0" fontId="12" fillId="13" borderId="4" xfId="0" applyFont="1" applyFill="1" applyBorder="1" applyAlignment="1" applyProtection="1">
      <alignment vertical="center"/>
    </xf>
    <xf numFmtId="0" fontId="4" fillId="13" borderId="5" xfId="0" applyFont="1" applyFill="1" applyBorder="1" applyAlignment="1" applyProtection="1">
      <alignment vertical="center"/>
    </xf>
    <xf numFmtId="0" fontId="12" fillId="13" borderId="5" xfId="0" applyFont="1" applyFill="1" applyBorder="1" applyAlignment="1" applyProtection="1">
      <alignment vertical="center"/>
    </xf>
    <xf numFmtId="0" fontId="4" fillId="13" borderId="6" xfId="0" applyFont="1" applyFill="1" applyBorder="1" applyAlignment="1" applyProtection="1">
      <alignment vertical="center"/>
    </xf>
    <xf numFmtId="0" fontId="4" fillId="5" borderId="7" xfId="0" applyFont="1" applyFill="1" applyBorder="1" applyProtection="1"/>
    <xf numFmtId="0" fontId="4" fillId="5" borderId="0" xfId="0" quotePrefix="1" applyFont="1" applyFill="1" applyBorder="1" applyAlignment="1" applyProtection="1">
      <alignment horizontal="center"/>
    </xf>
    <xf numFmtId="0" fontId="4" fillId="5" borderId="0" xfId="0" applyFont="1" applyFill="1" applyBorder="1" applyAlignment="1" applyProtection="1">
      <alignment horizontal="left"/>
    </xf>
    <xf numFmtId="0" fontId="4" fillId="7" borderId="7" xfId="0" applyFont="1" applyFill="1" applyBorder="1" applyProtection="1"/>
    <xf numFmtId="0" fontId="4" fillId="7" borderId="0" xfId="0" quotePrefix="1" applyFont="1" applyFill="1" applyBorder="1" applyAlignment="1" applyProtection="1">
      <alignment horizontal="center"/>
    </xf>
    <xf numFmtId="0" fontId="4" fillId="7" borderId="0" xfId="0" applyFont="1" applyFill="1" applyBorder="1" applyAlignment="1" applyProtection="1">
      <alignment horizontal="left"/>
    </xf>
    <xf numFmtId="0" fontId="4" fillId="11" borderId="7" xfId="0" applyFont="1" applyFill="1" applyBorder="1" applyProtection="1"/>
    <xf numFmtId="0" fontId="4" fillId="11" borderId="0" xfId="0" quotePrefix="1" applyFont="1" applyFill="1" applyBorder="1" applyAlignment="1" applyProtection="1">
      <alignment horizontal="center"/>
    </xf>
    <xf numFmtId="0" fontId="4" fillId="11" borderId="0" xfId="0" applyFont="1" applyFill="1" applyBorder="1" applyAlignment="1" applyProtection="1">
      <alignment horizontal="left"/>
    </xf>
    <xf numFmtId="0" fontId="4" fillId="12" borderId="7" xfId="0" applyFont="1" applyFill="1" applyBorder="1" applyProtection="1"/>
    <xf numFmtId="0" fontId="4" fillId="12" borderId="0" xfId="0" applyFont="1" applyFill="1" applyBorder="1" applyProtection="1"/>
    <xf numFmtId="0" fontId="4" fillId="12" borderId="12" xfId="0" applyFont="1" applyFill="1" applyBorder="1" applyProtection="1"/>
    <xf numFmtId="0" fontId="4" fillId="12" borderId="13" xfId="0" applyFont="1" applyFill="1" applyBorder="1" applyProtection="1"/>
    <xf numFmtId="0" fontId="4" fillId="3" borderId="0" xfId="0" applyFont="1" applyFill="1" applyAlignment="1" applyProtection="1">
      <alignment vertical="top"/>
    </xf>
    <xf numFmtId="0" fontId="10" fillId="3" borderId="0" xfId="67" applyFont="1" applyFill="1" applyProtection="1"/>
    <xf numFmtId="0" fontId="4" fillId="4" borderId="18" xfId="0" applyFont="1" applyFill="1" applyBorder="1" applyProtection="1">
      <protection hidden="1"/>
    </xf>
    <xf numFmtId="0" fontId="4" fillId="4" borderId="19" xfId="0" applyFont="1" applyFill="1" applyBorder="1" applyProtection="1">
      <protection hidden="1"/>
    </xf>
    <xf numFmtId="0" fontId="4" fillId="4" borderId="20" xfId="0" applyFont="1" applyFill="1" applyBorder="1" applyProtection="1">
      <protection hidden="1"/>
    </xf>
    <xf numFmtId="0" fontId="14" fillId="3" borderId="0" xfId="0" applyFont="1" applyFill="1" applyProtection="1">
      <protection hidden="1"/>
    </xf>
    <xf numFmtId="0" fontId="4" fillId="4" borderId="21" xfId="0" applyFont="1" applyFill="1" applyBorder="1" applyProtection="1">
      <protection hidden="1"/>
    </xf>
    <xf numFmtId="0" fontId="4" fillId="4" borderId="22" xfId="0" applyFont="1" applyFill="1" applyBorder="1" applyProtection="1">
      <protection hidden="1"/>
    </xf>
    <xf numFmtId="0" fontId="15" fillId="3" borderId="0" xfId="0" applyFont="1" applyFill="1" applyBorder="1" applyAlignment="1" applyProtection="1">
      <alignment vertical="center"/>
      <protection hidden="1"/>
    </xf>
    <xf numFmtId="0" fontId="4" fillId="3" borderId="0" xfId="0" applyFont="1" applyFill="1" applyAlignment="1" applyProtection="1">
      <alignment vertical="top"/>
      <protection hidden="1"/>
    </xf>
    <xf numFmtId="0" fontId="4" fillId="4" borderId="23" xfId="0" applyFont="1" applyFill="1" applyBorder="1" applyProtection="1">
      <protection hidden="1"/>
    </xf>
    <xf numFmtId="0" fontId="4" fillId="4" borderId="25" xfId="0" applyFont="1" applyFill="1" applyBorder="1" applyProtection="1">
      <protection hidden="1"/>
    </xf>
    <xf numFmtId="0" fontId="16" fillId="3" borderId="0" xfId="0" applyFont="1" applyFill="1" applyBorder="1" applyAlignment="1" applyProtection="1">
      <alignment vertical="center" wrapText="1"/>
      <protection hidden="1"/>
    </xf>
    <xf numFmtId="0" fontId="4" fillId="3" borderId="0" xfId="0" applyFont="1" applyFill="1" applyAlignment="1" applyProtection="1">
      <alignment horizontal="right"/>
      <protection hidden="1"/>
    </xf>
    <xf numFmtId="0" fontId="4" fillId="5" borderId="9" xfId="0" applyFont="1" applyFill="1" applyBorder="1" applyAlignment="1" applyProtection="1">
      <alignment vertical="center" wrapText="1"/>
    </xf>
    <xf numFmtId="0" fontId="4" fillId="5" borderId="11" xfId="0" applyFont="1" applyFill="1" applyBorder="1" applyAlignment="1" applyProtection="1">
      <alignment vertical="center" wrapText="1"/>
    </xf>
    <xf numFmtId="0" fontId="4" fillId="7" borderId="11" xfId="0" applyFont="1" applyFill="1" applyBorder="1" applyAlignment="1" applyProtection="1">
      <alignment vertical="center" wrapText="1"/>
    </xf>
    <xf numFmtId="0" fontId="4" fillId="11" borderId="11" xfId="0" applyFont="1" applyFill="1" applyBorder="1" applyAlignment="1" applyProtection="1">
      <alignment vertical="center" wrapText="1"/>
    </xf>
    <xf numFmtId="0" fontId="4" fillId="12" borderId="11" xfId="0" applyFont="1" applyFill="1" applyBorder="1" applyAlignment="1" applyProtection="1">
      <alignment vertical="center" wrapText="1"/>
    </xf>
    <xf numFmtId="0" fontId="4" fillId="12" borderId="14" xfId="0" applyFont="1" applyFill="1" applyBorder="1" applyAlignment="1" applyProtection="1">
      <alignment vertical="center" wrapText="1"/>
    </xf>
    <xf numFmtId="0" fontId="4" fillId="3" borderId="0" xfId="0" applyFont="1" applyFill="1" applyAlignment="1" applyProtection="1">
      <alignment horizontal="left" vertical="top" wrapText="1"/>
    </xf>
    <xf numFmtId="0" fontId="9" fillId="3" borderId="0" xfId="67" applyFont="1" applyFill="1" applyAlignment="1" applyProtection="1">
      <alignment horizontal="center"/>
      <protection locked="0"/>
    </xf>
    <xf numFmtId="0" fontId="4" fillId="3" borderId="0" xfId="0" applyFont="1" applyFill="1" applyAlignment="1" applyProtection="1">
      <alignment horizontal="left"/>
    </xf>
    <xf numFmtId="0" fontId="8" fillId="3" borderId="0" xfId="0" applyFont="1" applyFill="1" applyAlignment="1" applyProtection="1">
      <alignment horizontal="left" vertical="top" wrapText="1"/>
    </xf>
    <xf numFmtId="0" fontId="4" fillId="5" borderId="8" xfId="0" applyFont="1" applyFill="1" applyBorder="1" applyAlignment="1" applyProtection="1">
      <alignment horizontal="left" vertical="center" wrapText="1"/>
    </xf>
    <xf numFmtId="0" fontId="4" fillId="5" borderId="0" xfId="0" applyFont="1" applyFill="1" applyBorder="1" applyAlignment="1" applyProtection="1">
      <alignment horizontal="left" vertical="center" wrapText="1"/>
    </xf>
    <xf numFmtId="0" fontId="4" fillId="7" borderId="0" xfId="0" applyFont="1" applyFill="1" applyBorder="1" applyAlignment="1" applyProtection="1">
      <alignment horizontal="left" vertical="center" wrapText="1"/>
    </xf>
    <xf numFmtId="0" fontId="4" fillId="11" borderId="0" xfId="0" applyFont="1" applyFill="1" applyBorder="1" applyAlignment="1" applyProtection="1">
      <alignment horizontal="left" vertical="center" wrapText="1"/>
    </xf>
    <xf numFmtId="0" fontId="4" fillId="12" borderId="0" xfId="0" applyFont="1" applyFill="1" applyBorder="1" applyAlignment="1" applyProtection="1">
      <alignment horizontal="left" vertical="center" wrapText="1"/>
    </xf>
    <xf numFmtId="0" fontId="4" fillId="12" borderId="13" xfId="0" applyFont="1" applyFill="1" applyBorder="1" applyAlignment="1" applyProtection="1">
      <alignment horizontal="left" vertical="center" wrapText="1"/>
    </xf>
    <xf numFmtId="0" fontId="4" fillId="5" borderId="10" xfId="0" quotePrefix="1" applyFont="1" applyFill="1" applyBorder="1" applyAlignment="1" applyProtection="1">
      <alignment horizontal="center"/>
    </xf>
    <xf numFmtId="0" fontId="4" fillId="5" borderId="8" xfId="0" applyFont="1" applyFill="1" applyBorder="1" applyAlignment="1" applyProtection="1">
      <alignment horizontal="center"/>
    </xf>
    <xf numFmtId="0" fontId="4" fillId="7" borderId="7" xfId="0" quotePrefix="1" applyFont="1" applyFill="1" applyBorder="1" applyAlignment="1" applyProtection="1">
      <alignment horizontal="center"/>
    </xf>
    <xf numFmtId="0" fontId="4" fillId="7" borderId="0" xfId="0" applyFont="1" applyFill="1" applyBorder="1" applyAlignment="1" applyProtection="1">
      <alignment horizontal="center"/>
    </xf>
    <xf numFmtId="0" fontId="4" fillId="11" borderId="7" xfId="0" applyFont="1" applyFill="1" applyBorder="1" applyAlignment="1" applyProtection="1">
      <alignment horizontal="center"/>
    </xf>
    <xf numFmtId="0" fontId="4" fillId="11" borderId="0" xfId="0" applyFont="1" applyFill="1" applyBorder="1" applyAlignment="1" applyProtection="1">
      <alignment horizontal="center"/>
    </xf>
    <xf numFmtId="0" fontId="4" fillId="12" borderId="7" xfId="0" applyFont="1" applyFill="1" applyBorder="1" applyAlignment="1" applyProtection="1">
      <alignment horizontal="center"/>
    </xf>
    <xf numFmtId="0" fontId="4" fillId="12" borderId="0" xfId="0" applyFont="1" applyFill="1" applyBorder="1" applyAlignment="1" applyProtection="1">
      <alignment horizontal="center"/>
    </xf>
    <xf numFmtId="0" fontId="6" fillId="3" borderId="13" xfId="0" applyFont="1" applyFill="1" applyBorder="1" applyAlignment="1" applyProtection="1">
      <alignment horizontal="center" vertical="center"/>
      <protection hidden="1"/>
    </xf>
    <xf numFmtId="0" fontId="6" fillId="3" borderId="14" xfId="0" applyFont="1" applyFill="1" applyBorder="1" applyAlignment="1" applyProtection="1">
      <alignment horizontal="center" vertical="center"/>
      <protection hidden="1"/>
    </xf>
    <xf numFmtId="0" fontId="7" fillId="3" borderId="7" xfId="0" applyFont="1" applyFill="1" applyBorder="1" applyAlignment="1" applyProtection="1">
      <alignment horizontal="center" vertical="center" wrapText="1"/>
      <protection locked="0"/>
    </xf>
    <xf numFmtId="0" fontId="7" fillId="3" borderId="11" xfId="0" applyFont="1" applyFill="1" applyBorder="1" applyAlignment="1" applyProtection="1">
      <alignment horizontal="center" vertical="center" wrapText="1"/>
      <protection locked="0"/>
    </xf>
    <xf numFmtId="0" fontId="6" fillId="3" borderId="2" xfId="0" applyFont="1" applyFill="1" applyBorder="1" applyAlignment="1" applyProtection="1">
      <alignment horizontal="center" vertical="center" textRotation="90"/>
      <protection hidden="1"/>
    </xf>
    <xf numFmtId="0" fontId="6" fillId="3" borderId="3" xfId="0" applyFont="1" applyFill="1" applyBorder="1" applyAlignment="1" applyProtection="1">
      <alignment horizontal="center" vertical="center" textRotation="90"/>
      <protection hidden="1"/>
    </xf>
    <xf numFmtId="0" fontId="4" fillId="4" borderId="0" xfId="0" applyFont="1" applyFill="1" applyBorder="1" applyAlignment="1" applyProtection="1">
      <alignment horizontal="center"/>
      <protection hidden="1"/>
    </xf>
    <xf numFmtId="0" fontId="17" fillId="11" borderId="18" xfId="0" applyFont="1" applyFill="1" applyBorder="1" applyAlignment="1" applyProtection="1">
      <alignment horizontal="center"/>
      <protection hidden="1"/>
    </xf>
    <xf numFmtId="0" fontId="17" fillId="11" borderId="19" xfId="0" applyFont="1" applyFill="1" applyBorder="1" applyAlignment="1" applyProtection="1">
      <alignment horizontal="center"/>
      <protection hidden="1"/>
    </xf>
    <xf numFmtId="0" fontId="17" fillId="11" borderId="20" xfId="0" applyFont="1" applyFill="1" applyBorder="1" applyAlignment="1" applyProtection="1">
      <alignment horizontal="center"/>
      <protection hidden="1"/>
    </xf>
    <xf numFmtId="164" fontId="18" fillId="11" borderId="21" xfId="0" applyNumberFormat="1" applyFont="1" applyFill="1" applyBorder="1" applyAlignment="1" applyProtection="1">
      <alignment horizontal="center" vertical="top"/>
      <protection hidden="1"/>
    </xf>
    <xf numFmtId="164" fontId="18" fillId="11" borderId="0" xfId="0" applyNumberFormat="1" applyFont="1" applyFill="1" applyBorder="1" applyAlignment="1" applyProtection="1">
      <alignment horizontal="center" vertical="top"/>
      <protection hidden="1"/>
    </xf>
    <xf numFmtId="164" fontId="18" fillId="11" borderId="22" xfId="0" applyNumberFormat="1" applyFont="1" applyFill="1" applyBorder="1" applyAlignment="1" applyProtection="1">
      <alignment horizontal="center" vertical="top"/>
      <protection hidden="1"/>
    </xf>
    <xf numFmtId="164" fontId="18" fillId="11" borderId="23" xfId="0" applyNumberFormat="1" applyFont="1" applyFill="1" applyBorder="1" applyAlignment="1" applyProtection="1">
      <alignment horizontal="center" vertical="top"/>
      <protection hidden="1"/>
    </xf>
    <xf numFmtId="164" fontId="18" fillId="11" borderId="24" xfId="0" applyNumberFormat="1" applyFont="1" applyFill="1" applyBorder="1" applyAlignment="1" applyProtection="1">
      <alignment horizontal="center" vertical="top"/>
      <protection hidden="1"/>
    </xf>
    <xf numFmtId="164" fontId="18" fillId="11" borderId="25" xfId="0" applyNumberFormat="1" applyFont="1" applyFill="1" applyBorder="1" applyAlignment="1" applyProtection="1">
      <alignment horizontal="center" vertical="top"/>
      <protection hidden="1"/>
    </xf>
    <xf numFmtId="0" fontId="18" fillId="11" borderId="21" xfId="0" applyFont="1" applyFill="1" applyBorder="1" applyAlignment="1" applyProtection="1">
      <alignment horizontal="center" vertical="top"/>
      <protection hidden="1"/>
    </xf>
    <xf numFmtId="0" fontId="18" fillId="11" borderId="0" xfId="0" applyFont="1" applyFill="1" applyBorder="1" applyAlignment="1" applyProtection="1">
      <alignment horizontal="center" vertical="top"/>
      <protection hidden="1"/>
    </xf>
    <xf numFmtId="0" fontId="18" fillId="11" borderId="22" xfId="0" applyFont="1" applyFill="1" applyBorder="1" applyAlignment="1" applyProtection="1">
      <alignment horizontal="center" vertical="top"/>
      <protection hidden="1"/>
    </xf>
    <xf numFmtId="0" fontId="18" fillId="11" borderId="23" xfId="0" applyFont="1" applyFill="1" applyBorder="1" applyAlignment="1" applyProtection="1">
      <alignment horizontal="center" vertical="top"/>
      <protection hidden="1"/>
    </xf>
    <xf numFmtId="0" fontId="18" fillId="11" borderId="24" xfId="0" applyFont="1" applyFill="1" applyBorder="1" applyAlignment="1" applyProtection="1">
      <alignment horizontal="center" vertical="top"/>
      <protection hidden="1"/>
    </xf>
    <xf numFmtId="0" fontId="18" fillId="11" borderId="25" xfId="0" applyFont="1" applyFill="1" applyBorder="1" applyAlignment="1" applyProtection="1">
      <alignment horizontal="center" vertical="top"/>
      <protection hidden="1"/>
    </xf>
    <xf numFmtId="0" fontId="7" fillId="8" borderId="11" xfId="0" applyFont="1" applyFill="1" applyBorder="1" applyAlignment="1" applyProtection="1">
      <alignment horizontal="center" vertical="top" wrapText="1"/>
      <protection hidden="1"/>
    </xf>
    <xf numFmtId="0" fontId="7" fillId="3" borderId="7" xfId="0" applyFont="1" applyFill="1" applyBorder="1" applyAlignment="1" applyProtection="1">
      <alignment horizontal="center" vertical="center" wrapText="1"/>
      <protection hidden="1"/>
    </xf>
    <xf numFmtId="164" fontId="7" fillId="3" borderId="11" xfId="0" applyNumberFormat="1" applyFont="1" applyFill="1" applyBorder="1" applyAlignment="1" applyProtection="1">
      <alignment horizontal="center" vertical="center" wrapText="1"/>
      <protection hidden="1"/>
    </xf>
    <xf numFmtId="0" fontId="6" fillId="3" borderId="11" xfId="0" applyFont="1" applyFill="1" applyBorder="1" applyAlignment="1" applyProtection="1">
      <alignment horizontal="center" vertical="center" wrapText="1"/>
      <protection hidden="1"/>
    </xf>
    <xf numFmtId="0" fontId="7" fillId="5" borderId="11" xfId="0" applyFont="1" applyFill="1" applyBorder="1" applyAlignment="1" applyProtection="1">
      <alignment horizontal="center" vertical="top" wrapText="1"/>
      <protection hidden="1"/>
    </xf>
    <xf numFmtId="0" fontId="7" fillId="7" borderId="7" xfId="0" applyFont="1" applyFill="1" applyBorder="1" applyAlignment="1" applyProtection="1">
      <alignment horizontal="center" vertical="top" wrapText="1"/>
      <protection hidden="1"/>
    </xf>
    <xf numFmtId="0" fontId="7" fillId="7" borderId="11" xfId="0" applyFont="1" applyFill="1" applyBorder="1" applyAlignment="1" applyProtection="1">
      <alignment horizontal="center" vertical="top" wrapText="1"/>
      <protection hidden="1"/>
    </xf>
    <xf numFmtId="0" fontId="7" fillId="6" borderId="7" xfId="0" applyFont="1" applyFill="1" applyBorder="1" applyAlignment="1" applyProtection="1">
      <alignment horizontal="center" vertical="top" wrapText="1"/>
      <protection hidden="1"/>
    </xf>
    <xf numFmtId="0" fontId="7" fillId="6" borderId="11" xfId="0" applyFont="1" applyFill="1" applyBorder="1" applyAlignment="1" applyProtection="1">
      <alignment horizontal="center" vertical="top" wrapText="1"/>
      <protection hidden="1"/>
    </xf>
    <xf numFmtId="0" fontId="7" fillId="8" borderId="7" xfId="0" applyFont="1" applyFill="1" applyBorder="1" applyAlignment="1" applyProtection="1">
      <alignment horizontal="center" vertical="top" wrapText="1"/>
      <protection hidden="1"/>
    </xf>
    <xf numFmtId="0" fontId="6" fillId="3" borderId="8" xfId="0" applyFont="1" applyFill="1" applyBorder="1" applyAlignment="1" applyProtection="1">
      <alignment horizontal="center" vertical="center"/>
      <protection hidden="1"/>
    </xf>
    <xf numFmtId="0" fontId="6" fillId="3" borderId="9" xfId="0" applyFont="1" applyFill="1" applyBorder="1" applyAlignment="1" applyProtection="1">
      <alignment horizontal="center" vertical="center"/>
      <protection hidden="1"/>
    </xf>
    <xf numFmtId="0" fontId="7" fillId="3" borderId="0" xfId="0" applyFont="1" applyFill="1" applyBorder="1" applyAlignment="1" applyProtection="1">
      <alignment horizontal="center" vertical="top" wrapText="1"/>
      <protection hidden="1"/>
    </xf>
    <xf numFmtId="0" fontId="7" fillId="3" borderId="11" xfId="0" applyFont="1" applyFill="1" applyBorder="1" applyAlignment="1" applyProtection="1">
      <alignment horizontal="center" vertical="top" wrapText="1"/>
      <protection hidden="1"/>
    </xf>
    <xf numFmtId="0" fontId="7" fillId="3" borderId="0" xfId="0" applyFont="1" applyFill="1" applyBorder="1" applyAlignment="1" applyProtection="1">
      <alignment horizontal="center" vertical="center" wrapText="1"/>
      <protection locked="0"/>
    </xf>
    <xf numFmtId="0" fontId="7" fillId="8" borderId="0" xfId="0" applyFont="1" applyFill="1" applyBorder="1" applyAlignment="1" applyProtection="1">
      <alignment horizontal="left" vertical="top" wrapText="1"/>
      <protection hidden="1"/>
    </xf>
    <xf numFmtId="0" fontId="7" fillId="6" borderId="0" xfId="0" applyFont="1" applyFill="1" applyBorder="1" applyAlignment="1" applyProtection="1">
      <alignment horizontal="left" vertical="top" wrapText="1"/>
      <protection hidden="1"/>
    </xf>
    <xf numFmtId="0" fontId="7" fillId="7" borderId="0" xfId="0" applyFont="1" applyFill="1" applyBorder="1" applyAlignment="1" applyProtection="1">
      <alignment horizontal="left" vertical="top" wrapText="1"/>
      <protection hidden="1"/>
    </xf>
    <xf numFmtId="0" fontId="6" fillId="3" borderId="1" xfId="0" applyFont="1" applyFill="1" applyBorder="1" applyAlignment="1" applyProtection="1">
      <alignment horizontal="center" vertical="center" textRotation="90"/>
      <protection hidden="1"/>
    </xf>
    <xf numFmtId="0" fontId="6" fillId="2" borderId="17" xfId="0" applyFont="1" applyFill="1" applyBorder="1" applyAlignment="1" applyProtection="1">
      <alignment horizontal="center" vertical="center"/>
      <protection hidden="1"/>
    </xf>
    <xf numFmtId="0" fontId="6" fillId="2" borderId="15" xfId="0" applyFont="1" applyFill="1" applyBorder="1" applyAlignment="1" applyProtection="1">
      <alignment horizontal="center" vertical="center"/>
      <protection hidden="1"/>
    </xf>
    <xf numFmtId="0" fontId="5" fillId="4" borderId="0" xfId="0" applyFont="1" applyFill="1" applyBorder="1" applyAlignment="1" applyProtection="1">
      <alignment horizontal="center"/>
      <protection hidden="1"/>
    </xf>
    <xf numFmtId="0" fontId="5" fillId="4" borderId="24" xfId="0" applyFont="1" applyFill="1" applyBorder="1" applyAlignment="1" applyProtection="1">
      <alignment horizontal="center"/>
      <protection hidden="1"/>
    </xf>
    <xf numFmtId="0" fontId="13" fillId="3" borderId="10" xfId="0" applyFont="1" applyFill="1" applyBorder="1" applyAlignment="1" applyProtection="1">
      <alignment horizontal="center" vertical="center"/>
      <protection locked="0" hidden="1"/>
    </xf>
    <xf numFmtId="0" fontId="13" fillId="3" borderId="8" xfId="0" applyFont="1" applyFill="1" applyBorder="1" applyAlignment="1" applyProtection="1">
      <alignment horizontal="center" vertical="center"/>
      <protection locked="0" hidden="1"/>
    </xf>
    <xf numFmtId="0" fontId="13" fillId="3" borderId="9" xfId="0" applyFont="1" applyFill="1" applyBorder="1" applyAlignment="1" applyProtection="1">
      <alignment horizontal="center" vertical="center"/>
      <protection locked="0" hidden="1"/>
    </xf>
    <xf numFmtId="0" fontId="13" fillId="3" borderId="7" xfId="0" applyFont="1" applyFill="1" applyBorder="1" applyAlignment="1" applyProtection="1">
      <alignment horizontal="center" vertical="center"/>
      <protection locked="0" hidden="1"/>
    </xf>
    <xf numFmtId="0" fontId="13" fillId="3" borderId="0" xfId="0" applyFont="1" applyFill="1" applyBorder="1" applyAlignment="1" applyProtection="1">
      <alignment horizontal="center" vertical="center"/>
      <protection locked="0" hidden="1"/>
    </xf>
    <xf numFmtId="0" fontId="13" fillId="3" borderId="11" xfId="0" applyFont="1" applyFill="1" applyBorder="1" applyAlignment="1" applyProtection="1">
      <alignment horizontal="center" vertical="center"/>
      <protection locked="0" hidden="1"/>
    </xf>
    <xf numFmtId="0" fontId="13" fillId="3" borderId="12" xfId="0" applyFont="1" applyFill="1" applyBorder="1" applyAlignment="1" applyProtection="1">
      <alignment horizontal="center" vertical="center"/>
      <protection locked="0" hidden="1"/>
    </xf>
    <xf numFmtId="0" fontId="13" fillId="3" borderId="13" xfId="0" applyFont="1" applyFill="1" applyBorder="1" applyAlignment="1" applyProtection="1">
      <alignment horizontal="center" vertical="center"/>
      <protection locked="0" hidden="1"/>
    </xf>
    <xf numFmtId="0" fontId="13" fillId="3" borderId="14" xfId="0" applyFont="1" applyFill="1" applyBorder="1" applyAlignment="1" applyProtection="1">
      <alignment horizontal="center" vertical="center"/>
      <protection locked="0" hidden="1"/>
    </xf>
    <xf numFmtId="165" fontId="13" fillId="3" borderId="10" xfId="0" applyNumberFormat="1" applyFont="1" applyFill="1" applyBorder="1" applyAlignment="1" applyProtection="1">
      <alignment horizontal="center" vertical="center"/>
      <protection locked="0" hidden="1"/>
    </xf>
    <xf numFmtId="165" fontId="13" fillId="3" borderId="9" xfId="0" applyNumberFormat="1" applyFont="1" applyFill="1" applyBorder="1" applyAlignment="1" applyProtection="1">
      <alignment horizontal="center" vertical="center"/>
      <protection locked="0" hidden="1"/>
    </xf>
    <xf numFmtId="165" fontId="13" fillId="3" borderId="7" xfId="0" applyNumberFormat="1" applyFont="1" applyFill="1" applyBorder="1" applyAlignment="1" applyProtection="1">
      <alignment horizontal="center" vertical="center"/>
      <protection locked="0" hidden="1"/>
    </xf>
    <xf numFmtId="165" fontId="13" fillId="3" borderId="11" xfId="0" applyNumberFormat="1" applyFont="1" applyFill="1" applyBorder="1" applyAlignment="1" applyProtection="1">
      <alignment horizontal="center" vertical="center"/>
      <protection locked="0" hidden="1"/>
    </xf>
    <xf numFmtId="165" fontId="13" fillId="3" borderId="12" xfId="0" applyNumberFormat="1" applyFont="1" applyFill="1" applyBorder="1" applyAlignment="1" applyProtection="1">
      <alignment horizontal="center" vertical="center"/>
      <protection locked="0" hidden="1"/>
    </xf>
    <xf numFmtId="165" fontId="13" fillId="3" borderId="14" xfId="0" applyNumberFormat="1" applyFont="1" applyFill="1" applyBorder="1" applyAlignment="1" applyProtection="1">
      <alignment horizontal="center" vertical="center"/>
      <protection locked="0" hidden="1"/>
    </xf>
    <xf numFmtId="0" fontId="7" fillId="5" borderId="0" xfId="0" applyFont="1" applyFill="1" applyBorder="1" applyAlignment="1" applyProtection="1">
      <alignment horizontal="left" vertical="top" wrapText="1"/>
      <protection hidden="1"/>
    </xf>
    <xf numFmtId="0" fontId="6" fillId="3" borderId="0" xfId="0" applyFont="1" applyFill="1" applyBorder="1" applyAlignment="1" applyProtection="1">
      <alignment horizontal="left" vertical="top" wrapText="1"/>
      <protection hidden="1"/>
    </xf>
  </cellXfs>
  <cellStyles count="9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cellStyle name="Normal" xfId="0" builtinId="0"/>
  </cellStyles>
  <dxfs count="0"/>
  <tableStyles count="0" defaultTableStyle="TableStyleMedium9" defaultPivotStyle="PivotStyleMedium7"/>
  <colors>
    <mruColors>
      <color rgb="FF676767"/>
      <color rgb="FF138E9C"/>
      <color rgb="FFD9D9D9"/>
      <color rgb="FFB6DCE1"/>
      <color rgb="FFFCD6CC"/>
      <color rgb="FFF88C69"/>
      <color rgb="FFEAF5F6"/>
      <color rgb="FFFEF3F0"/>
      <color rgb="FFF37757"/>
      <color rgb="FFFBD5C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theme" Target="theme/theme1.xml"/><Relationship Id="rId6" Type="http://schemas.openxmlformats.org/officeDocument/2006/relationships/styles" Target="styles.xml"/><Relationship Id="rId7" Type="http://schemas.openxmlformats.org/officeDocument/2006/relationships/sharedStrings" Target="sharedStrings.xml"/><Relationship Id="rId8" Type="http://schemas.openxmlformats.org/officeDocument/2006/relationships/calcChain" Target="calcChain.xml"/><Relationship Id="rId9"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harts/_rels/chart1.xml.rels><?xml version="1.0" encoding="UTF-8" standalone="yes"?>
<Relationships xmlns="http://schemas.openxmlformats.org/package/2006/relationships"><Relationship Id="rId1" Type="http://schemas.microsoft.com/office/2011/relationships/chartStyle" Target="style1.xml"/><Relationship Id="rId2" Type="http://schemas.microsoft.com/office/2011/relationships/chartColorStyle" Target="colors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radarChart>
        <c:radarStyle val="marker"/>
        <c:varyColors val="0"/>
        <c:ser>
          <c:idx val="0"/>
          <c:order val="0"/>
          <c:tx>
            <c:v>Current</c:v>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RadarChart!$A$2:$A$11</c:f>
              <c:strCache>
                <c:ptCount val="10"/>
                <c:pt idx="0">
                  <c:v>SPIRITUAL</c:v>
                </c:pt>
                <c:pt idx="1">
                  <c:v>INTELLECTUAL</c:v>
                </c:pt>
                <c:pt idx="2">
                  <c:v>EMOTIONAL</c:v>
                </c:pt>
                <c:pt idx="3">
                  <c:v>PHYSICAL</c:v>
                </c:pt>
                <c:pt idx="4">
                  <c:v>MARITAL</c:v>
                </c:pt>
                <c:pt idx="5">
                  <c:v>PARENTAL</c:v>
                </c:pt>
                <c:pt idx="6">
                  <c:v>SOCIAL</c:v>
                </c:pt>
                <c:pt idx="7">
                  <c:v>VOCATIONAL</c:v>
                </c:pt>
                <c:pt idx="8">
                  <c:v>AVOCATIONAL</c:v>
                </c:pt>
                <c:pt idx="9">
                  <c:v>FINANCIAL</c:v>
                </c:pt>
              </c:strCache>
            </c:strRef>
          </c:cat>
          <c:val>
            <c:numRef>
              <c:f>RadarChart!$B$2:$B$11</c:f>
              <c:numCache>
                <c:formatCode>General</c:formatCode>
                <c:ptCount val="10"/>
                <c:pt idx="0">
                  <c:v>9.0</c:v>
                </c:pt>
                <c:pt idx="1">
                  <c:v>9.0</c:v>
                </c:pt>
                <c:pt idx="2">
                  <c:v>9.0</c:v>
                </c:pt>
                <c:pt idx="3">
                  <c:v>10.0</c:v>
                </c:pt>
                <c:pt idx="4">
                  <c:v>9.0</c:v>
                </c:pt>
                <c:pt idx="5">
                  <c:v>9.0</c:v>
                </c:pt>
                <c:pt idx="6">
                  <c:v>10.0</c:v>
                </c:pt>
                <c:pt idx="7">
                  <c:v>11.0</c:v>
                </c:pt>
                <c:pt idx="8">
                  <c:v>7.0</c:v>
                </c:pt>
                <c:pt idx="9">
                  <c:v>10.0</c:v>
                </c:pt>
              </c:numCache>
            </c:numRef>
          </c:val>
          <c:extLst xmlns:c16r2="http://schemas.microsoft.com/office/drawing/2015/06/chart">
            <c:ext xmlns:c16="http://schemas.microsoft.com/office/drawing/2014/chart" uri="{C3380CC4-5D6E-409C-BE32-E72D297353CC}">
              <c16:uniqueId val="{00000000-A2C9-4B0B-8064-413541755A76}"/>
            </c:ext>
          </c:extLst>
        </c:ser>
        <c:ser>
          <c:idx val="1"/>
          <c:order val="1"/>
          <c:tx>
            <c:v>Prior</c:v>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RadarChart!$A$2:$A$11</c:f>
              <c:strCache>
                <c:ptCount val="10"/>
                <c:pt idx="0">
                  <c:v>SPIRITUAL</c:v>
                </c:pt>
                <c:pt idx="1">
                  <c:v>INTELLECTUAL</c:v>
                </c:pt>
                <c:pt idx="2">
                  <c:v>EMOTIONAL</c:v>
                </c:pt>
                <c:pt idx="3">
                  <c:v>PHYSICAL</c:v>
                </c:pt>
                <c:pt idx="4">
                  <c:v>MARITAL</c:v>
                </c:pt>
                <c:pt idx="5">
                  <c:v>PARENTAL</c:v>
                </c:pt>
                <c:pt idx="6">
                  <c:v>SOCIAL</c:v>
                </c:pt>
                <c:pt idx="7">
                  <c:v>VOCATIONAL</c:v>
                </c:pt>
                <c:pt idx="8">
                  <c:v>AVOCATIONAL</c:v>
                </c:pt>
                <c:pt idx="9">
                  <c:v>FINANCIAL</c:v>
                </c:pt>
              </c:strCache>
            </c:strRef>
          </c:cat>
          <c:val>
            <c:numRef>
              <c:f>RadarChart!$C$2:$C$11</c:f>
              <c:numCache>
                <c:formatCode>General</c:formatCode>
                <c:ptCount val="10"/>
                <c:pt idx="0">
                  <c:v>8.0</c:v>
                </c:pt>
                <c:pt idx="1">
                  <c:v>11.0</c:v>
                </c:pt>
                <c:pt idx="2">
                  <c:v>10.0</c:v>
                </c:pt>
                <c:pt idx="3">
                  <c:v>10.0</c:v>
                </c:pt>
                <c:pt idx="4">
                  <c:v>10.0</c:v>
                </c:pt>
                <c:pt idx="5">
                  <c:v>8.0</c:v>
                </c:pt>
                <c:pt idx="6">
                  <c:v>8.0</c:v>
                </c:pt>
                <c:pt idx="7">
                  <c:v>9.0</c:v>
                </c:pt>
                <c:pt idx="8">
                  <c:v>9.0</c:v>
                </c:pt>
                <c:pt idx="9">
                  <c:v>8.0</c:v>
                </c:pt>
              </c:numCache>
            </c:numRef>
          </c:val>
          <c:extLst xmlns:c16r2="http://schemas.microsoft.com/office/drawing/2015/06/chart">
            <c:ext xmlns:c16="http://schemas.microsoft.com/office/drawing/2014/chart" uri="{C3380CC4-5D6E-409C-BE32-E72D297353CC}">
              <c16:uniqueId val="{00000001-A2C9-4B0B-8064-413541755A76}"/>
            </c:ext>
          </c:extLst>
        </c:ser>
        <c:dLbls>
          <c:showLegendKey val="0"/>
          <c:showVal val="0"/>
          <c:showCatName val="0"/>
          <c:showSerName val="0"/>
          <c:showPercent val="0"/>
          <c:showBubbleSize val="0"/>
        </c:dLbls>
        <c:axId val="1829914960"/>
        <c:axId val="-2034105488"/>
      </c:radarChart>
      <c:catAx>
        <c:axId val="1829914960"/>
        <c:scaling>
          <c:orientation val="minMax"/>
        </c:scaling>
        <c:delete val="0"/>
        <c:axPos val="b"/>
        <c:numFmt formatCode="General" sourceLinked="1"/>
        <c:majorTickMark val="none"/>
        <c:minorTickMark val="none"/>
        <c:tickLblPos val="nextTo"/>
        <c:spPr>
          <a:noFill/>
          <a:ln w="25400"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4105488"/>
        <c:crosses val="autoZero"/>
        <c:auto val="1"/>
        <c:lblAlgn val="ctr"/>
        <c:lblOffset val="100"/>
        <c:noMultiLvlLbl val="0"/>
      </c:catAx>
      <c:valAx>
        <c:axId val="-203410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99149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5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6</xdr:col>
      <xdr:colOff>220545</xdr:colOff>
      <xdr:row>28</xdr:row>
      <xdr:rowOff>75428</xdr:rowOff>
    </xdr:from>
    <xdr:to>
      <xdr:col>8</xdr:col>
      <xdr:colOff>406015</xdr:colOff>
      <xdr:row>30</xdr:row>
      <xdr:rowOff>14294</xdr:rowOff>
    </xdr:to>
    <xdr:sp macro="[0]!OpenAssistant" textlink="">
      <xdr:nvSpPr>
        <xdr:cNvPr id="3" name="OpenCovgSelector" descr="eb27cf98-93b1-4ff3-8ded-732d83c9a0ef"/>
        <xdr:cNvSpPr/>
      </xdr:nvSpPr>
      <xdr:spPr>
        <a:xfrm>
          <a:off x="2242385" y="5765028"/>
          <a:ext cx="1821230" cy="345266"/>
        </a:xfrm>
        <a:prstGeom prst="roundRect">
          <a:avLst/>
        </a:prstGeom>
        <a:solidFill>
          <a:srgbClr val="F88C69"/>
        </a:solidFill>
        <a:ln w="38100">
          <a:solidFill>
            <a:srgbClr val="138E9C"/>
          </a:solidFill>
        </a:ln>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200" b="0" i="0">
              <a:solidFill>
                <a:schemeClr val="bg1"/>
              </a:solidFill>
              <a:effectLst/>
              <a:latin typeface="+mn-lt"/>
              <a:ea typeface="+mn-ea"/>
              <a:cs typeface="+mn-cs"/>
            </a:rPr>
            <a:t>Configure Assessment</a:t>
          </a:r>
          <a:endParaRPr lang="en-US" sz="1400" b="0">
            <a:solidFill>
              <a:schemeClr val="bg1"/>
            </a:solidFill>
          </a:endParaRPr>
        </a:p>
      </xdr:txBody>
    </xdr:sp>
    <xdr:clientData/>
  </xdr:twoCellAnchor>
  <xdr:twoCellAnchor editAs="oneCell">
    <xdr:from>
      <xdr:col>0</xdr:col>
      <xdr:colOff>20321</xdr:colOff>
      <xdr:row>0</xdr:row>
      <xdr:rowOff>1</xdr:rowOff>
    </xdr:from>
    <xdr:to>
      <xdr:col>12</xdr:col>
      <xdr:colOff>25401</xdr:colOff>
      <xdr:row>9</xdr:row>
      <xdr:rowOff>59368</xdr:rowOff>
    </xdr:to>
    <xdr:pic>
      <xdr:nvPicPr>
        <xdr:cNvPr id="4" name="Picture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321" y="1"/>
          <a:ext cx="6253480" cy="184244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24902</xdr:rowOff>
    </xdr:from>
    <xdr:to>
      <xdr:col>15</xdr:col>
      <xdr:colOff>49804</xdr:colOff>
      <xdr:row>12</xdr:row>
      <xdr:rowOff>151902</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4902"/>
          <a:ext cx="9064314" cy="2654549"/>
        </a:xfrm>
        <a:prstGeom prst="rect">
          <a:avLst/>
        </a:prstGeom>
      </xdr:spPr>
    </xdr:pic>
    <xdr:clientData/>
  </xdr:twoCellAnchor>
  <xdr:twoCellAnchor editAs="oneCell">
    <xdr:from>
      <xdr:col>20</xdr:col>
      <xdr:colOff>809625</xdr:colOff>
      <xdr:row>6</xdr:row>
      <xdr:rowOff>142875</xdr:rowOff>
    </xdr:from>
    <xdr:to>
      <xdr:col>22</xdr:col>
      <xdr:colOff>804595</xdr:colOff>
      <xdr:row>7</xdr:row>
      <xdr:rowOff>281766</xdr:rowOff>
    </xdr:to>
    <xdr:sp macro="[0]!OpenPrintDialog" textlink="">
      <xdr:nvSpPr>
        <xdr:cNvPr id="4" name="OpenCovgSelector" descr="eb27cf98-93b1-4ff3-8ded-732d83c9a0ef" hidden="1"/>
        <xdr:cNvSpPr/>
      </xdr:nvSpPr>
      <xdr:spPr>
        <a:xfrm>
          <a:off x="12744450" y="1228725"/>
          <a:ext cx="1823770" cy="338916"/>
        </a:xfrm>
        <a:prstGeom prst="roundRect">
          <a:avLst/>
        </a:prstGeom>
        <a:solidFill>
          <a:srgbClr val="F88C69"/>
        </a:solidFill>
        <a:ln w="38100">
          <a:solidFill>
            <a:srgbClr val="138E9C"/>
          </a:solidFill>
        </a:ln>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200" b="0" i="0">
              <a:solidFill>
                <a:schemeClr val="bg1"/>
              </a:solidFill>
              <a:effectLst/>
              <a:latin typeface="+mn-lt"/>
              <a:ea typeface="+mn-ea"/>
              <a:cs typeface="+mn-cs"/>
            </a:rPr>
            <a:t>Print</a:t>
          </a:r>
          <a:r>
            <a:rPr lang="en-US" sz="1200" b="0" i="0" baseline="0">
              <a:solidFill>
                <a:schemeClr val="bg1"/>
              </a:solidFill>
              <a:effectLst/>
              <a:latin typeface="+mn-lt"/>
              <a:ea typeface="+mn-ea"/>
              <a:cs typeface="+mn-cs"/>
            </a:rPr>
            <a:t> Your Results</a:t>
          </a:r>
          <a:endParaRPr lang="en-US" sz="1400" b="0">
            <a:solidFill>
              <a:schemeClr val="bg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393700</xdr:colOff>
      <xdr:row>17</xdr:row>
      <xdr:rowOff>79375</xdr:rowOff>
    </xdr:from>
    <xdr:to>
      <xdr:col>3</xdr:col>
      <xdr:colOff>361949</xdr:colOff>
      <xdr:row>18</xdr:row>
      <xdr:rowOff>120650</xdr:rowOff>
    </xdr:to>
    <xdr:sp macro="[0]!Sheet1.ResetValues" textlink="">
      <xdr:nvSpPr>
        <xdr:cNvPr id="3" name="HIDEbutton" descr="eb27cf98-93b1-4ff3-8ded-732d83c9a0ef"/>
        <xdr:cNvSpPr/>
      </xdr:nvSpPr>
      <xdr:spPr>
        <a:xfrm>
          <a:off x="2197100" y="3965575"/>
          <a:ext cx="641349" cy="269875"/>
        </a:xfrm>
        <a:prstGeom prst="roundRect">
          <a:avLst/>
        </a:prstGeom>
        <a:gradFill flip="none" rotWithShape="1">
          <a:gsLst>
            <a:gs pos="0">
              <a:schemeClr val="accent4">
                <a:lumMod val="40000"/>
                <a:lumOff val="60000"/>
              </a:schemeClr>
            </a:gs>
            <a:gs pos="100000">
              <a:schemeClr val="accent4">
                <a:lumMod val="95000"/>
                <a:lumOff val="5000"/>
              </a:schemeClr>
            </a:gs>
            <a:gs pos="100000">
              <a:schemeClr val="accent4">
                <a:lumMod val="60000"/>
              </a:schemeClr>
            </a:gs>
          </a:gsLst>
          <a:path path="circle">
            <a:fillToRect l="50000" t="50000" r="50000" b="50000"/>
          </a:path>
          <a:tileRect/>
        </a:gradFill>
        <a:ln>
          <a:noFill/>
        </a:ln>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ctr"/>
          <a:r>
            <a:rPr lang="en-US" sz="1100">
              <a:solidFill>
                <a:schemeClr val="tx1"/>
              </a:solidFill>
            </a:rPr>
            <a:t>RESET</a:t>
          </a:r>
        </a:p>
      </xdr:txBody>
    </xdr:sp>
    <xdr:clientData/>
  </xdr:twoCellAnchor>
  <xdr:twoCellAnchor editAs="absolute">
    <xdr:from>
      <xdr:col>0</xdr:col>
      <xdr:colOff>79375</xdr:colOff>
      <xdr:row>17</xdr:row>
      <xdr:rowOff>66675</xdr:rowOff>
    </xdr:from>
    <xdr:to>
      <xdr:col>2</xdr:col>
      <xdr:colOff>288925</xdr:colOff>
      <xdr:row>18</xdr:row>
      <xdr:rowOff>107950</xdr:rowOff>
    </xdr:to>
    <xdr:sp macro="[0]!WINorMAC_1" textlink="">
      <xdr:nvSpPr>
        <xdr:cNvPr id="5" name="HIDEbutton" descr="eb27cf98-93b1-4ff3-8ded-732d83c9a0ef"/>
        <xdr:cNvSpPr/>
      </xdr:nvSpPr>
      <xdr:spPr>
        <a:xfrm>
          <a:off x="79375" y="3952875"/>
          <a:ext cx="2012950" cy="269875"/>
        </a:xfrm>
        <a:prstGeom prst="roundRect">
          <a:avLst/>
        </a:prstGeom>
        <a:solidFill>
          <a:srgbClr val="00B050"/>
        </a:solidFill>
        <a:ln>
          <a:noFill/>
        </a:ln>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ctr"/>
          <a:r>
            <a:rPr lang="en-US" sz="1100">
              <a:solidFill>
                <a:schemeClr val="tx1"/>
              </a:solidFill>
            </a:rPr>
            <a:t>MAC</a:t>
          </a:r>
          <a:r>
            <a:rPr lang="en-US" sz="1100" baseline="0">
              <a:solidFill>
                <a:schemeClr val="tx1"/>
              </a:solidFill>
            </a:rPr>
            <a:t> OR WINDOWS TEST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9525</xdr:colOff>
      <xdr:row>0</xdr:row>
      <xdr:rowOff>190500</xdr:rowOff>
    </xdr:from>
    <xdr:to>
      <xdr:col>10</xdr:col>
      <xdr:colOff>466725</xdr:colOff>
      <xdr:row>14</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4" Type="http://schemas.openxmlformats.org/officeDocument/2006/relationships/drawing" Target="../drawings/drawing1.xml"/><Relationship Id="rId1" Type="http://schemas.openxmlformats.org/officeDocument/2006/relationships/hyperlink" Target="http://michaelhyatt.com/lifescore-assessment.html" TargetMode="External"/><Relationship Id="rId2" Type="http://schemas.openxmlformats.org/officeDocument/2006/relationships/hyperlink" Target="http://bestyearever.m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 Id="rId2"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 Id="rId2"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 Id="rId2"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pageSetUpPr fitToPage="1"/>
  </sheetPr>
  <dimension ref="A1:N102"/>
  <sheetViews>
    <sheetView showGridLines="0" showRowColHeaders="0" tabSelected="1" workbookViewId="0">
      <selection activeCell="B17" sqref="B17:M17"/>
    </sheetView>
  </sheetViews>
  <sheetFormatPr baseColWidth="10" defaultColWidth="11" defaultRowHeight="16" x14ac:dyDescent="0.2"/>
  <cols>
    <col min="1" max="1" width="1.1640625" style="92" customWidth="1"/>
    <col min="2" max="2" width="3" style="91" customWidth="1"/>
    <col min="3" max="3" width="3" style="92" customWidth="1"/>
    <col min="4" max="4" width="1.1640625" style="92" customWidth="1"/>
    <col min="5" max="5" width="6.5" style="92" customWidth="1"/>
    <col min="6" max="6" width="11.5" style="92" customWidth="1"/>
    <col min="7" max="7" width="10" style="92" customWidth="1"/>
    <col min="8" max="8" width="11.5" style="92" customWidth="1"/>
    <col min="9" max="9" width="8.83203125" style="92" customWidth="1"/>
    <col min="10" max="10" width="3.83203125" style="92" customWidth="1"/>
    <col min="11" max="11" width="11.33203125" style="92" customWidth="1"/>
    <col min="12" max="12" width="10.1640625" style="92" customWidth="1"/>
    <col min="13" max="13" width="1.33203125" style="92" customWidth="1"/>
    <col min="14" max="14" width="10.1640625" style="92" customWidth="1"/>
    <col min="15" max="16384" width="11" style="92"/>
  </cols>
  <sheetData>
    <row r="1" spans="1:14" x14ac:dyDescent="0.2">
      <c r="A1" s="90"/>
    </row>
    <row r="12" spans="1:14" ht="16.25" customHeight="1" x14ac:dyDescent="0.2">
      <c r="B12" s="136" t="str">
        <f>TEXT("Welcome to the LifeScore™ Assessment, version ",1)&amp;TEXT(Version,"0.0")&amp;TEXT(". This tool is designed to help you determine where you are in each of the major domains of life.",1)</f>
        <v>Welcome to the LifeScore™ Assessment, version 1.8. This tool is designed to help you determine where you are in each of the major domains of life.</v>
      </c>
      <c r="C12" s="136"/>
      <c r="D12" s="136"/>
      <c r="E12" s="136"/>
      <c r="F12" s="136"/>
      <c r="G12" s="136"/>
      <c r="H12" s="136"/>
      <c r="I12" s="136"/>
      <c r="J12" s="136"/>
      <c r="K12" s="136"/>
      <c r="L12" s="136"/>
      <c r="M12" s="136"/>
      <c r="N12" s="93"/>
    </row>
    <row r="13" spans="1:14" x14ac:dyDescent="0.2">
      <c r="B13" s="136"/>
      <c r="C13" s="136"/>
      <c r="D13" s="136"/>
      <c r="E13" s="136"/>
      <c r="F13" s="136"/>
      <c r="G13" s="136"/>
      <c r="H13" s="136"/>
      <c r="I13" s="136"/>
      <c r="J13" s="136"/>
      <c r="K13" s="136"/>
      <c r="L13" s="136"/>
      <c r="M13" s="136"/>
      <c r="N13" s="93"/>
    </row>
    <row r="14" spans="1:14" x14ac:dyDescent="0.2">
      <c r="B14" s="94"/>
      <c r="C14" s="94"/>
      <c r="D14" s="94"/>
      <c r="E14" s="94"/>
      <c r="F14" s="94"/>
      <c r="G14" s="94"/>
      <c r="H14" s="94"/>
      <c r="I14" s="94"/>
    </row>
    <row r="15" spans="1:14" ht="16.25" customHeight="1" x14ac:dyDescent="0.2">
      <c r="B15" s="136" t="s">
        <v>86</v>
      </c>
      <c r="C15" s="136"/>
      <c r="D15" s="136"/>
      <c r="E15" s="136"/>
      <c r="F15" s="136"/>
      <c r="G15" s="136"/>
      <c r="H15" s="136"/>
      <c r="I15" s="136"/>
      <c r="J15" s="136"/>
      <c r="K15" s="136"/>
      <c r="L15" s="136"/>
      <c r="M15" s="136"/>
    </row>
    <row r="16" spans="1:14" x14ac:dyDescent="0.2">
      <c r="B16" s="94"/>
      <c r="C16" s="94"/>
      <c r="D16" s="94"/>
      <c r="E16" s="94"/>
      <c r="F16" s="94"/>
      <c r="G16" s="94"/>
      <c r="H16" s="94"/>
      <c r="I16" s="94"/>
    </row>
    <row r="17" spans="2:14" x14ac:dyDescent="0.2">
      <c r="B17" s="137" t="s">
        <v>70</v>
      </c>
      <c r="C17" s="137"/>
      <c r="D17" s="137"/>
      <c r="E17" s="137"/>
      <c r="F17" s="137"/>
      <c r="G17" s="137"/>
      <c r="H17" s="137"/>
      <c r="I17" s="137"/>
      <c r="J17" s="137"/>
      <c r="K17" s="137"/>
      <c r="L17" s="137"/>
      <c r="M17" s="137"/>
      <c r="N17" s="95"/>
    </row>
    <row r="18" spans="2:14" x14ac:dyDescent="0.2">
      <c r="B18" s="94"/>
      <c r="C18" s="94"/>
      <c r="D18" s="94"/>
      <c r="E18" s="94"/>
      <c r="F18" s="94"/>
      <c r="G18" s="94"/>
      <c r="H18" s="94"/>
      <c r="I18" s="94"/>
    </row>
    <row r="19" spans="2:14" ht="16.25" customHeight="1" x14ac:dyDescent="0.2">
      <c r="B19" s="136" t="s">
        <v>71</v>
      </c>
      <c r="C19" s="136"/>
      <c r="D19" s="136"/>
      <c r="E19" s="136"/>
      <c r="F19" s="136"/>
      <c r="G19" s="136"/>
      <c r="H19" s="136"/>
      <c r="I19" s="136"/>
      <c r="J19" s="136"/>
      <c r="K19" s="136"/>
      <c r="L19" s="136"/>
      <c r="M19" s="136"/>
      <c r="N19" s="93"/>
    </row>
    <row r="20" spans="2:14" x14ac:dyDescent="0.2">
      <c r="B20" s="136"/>
      <c r="C20" s="136"/>
      <c r="D20" s="136"/>
      <c r="E20" s="136"/>
      <c r="F20" s="136"/>
      <c r="G20" s="136"/>
      <c r="H20" s="136"/>
      <c r="I20" s="136"/>
      <c r="J20" s="136"/>
      <c r="K20" s="136"/>
      <c r="L20" s="136"/>
      <c r="M20" s="136"/>
      <c r="N20" s="93"/>
    </row>
    <row r="21" spans="2:14" x14ac:dyDescent="0.2">
      <c r="B21" s="94"/>
      <c r="C21" s="94"/>
      <c r="D21" s="94"/>
      <c r="E21" s="94"/>
      <c r="F21" s="94"/>
      <c r="G21" s="94"/>
      <c r="H21" s="94"/>
      <c r="I21" s="94"/>
    </row>
    <row r="22" spans="2:14" x14ac:dyDescent="0.2">
      <c r="B22" s="96">
        <v>1</v>
      </c>
      <c r="C22" s="97" t="s">
        <v>61</v>
      </c>
      <c r="E22" s="94"/>
      <c r="F22" s="94"/>
      <c r="G22" s="94"/>
      <c r="H22" s="94"/>
      <c r="I22" s="94"/>
    </row>
    <row r="23" spans="2:14" x14ac:dyDescent="0.2">
      <c r="B23" s="94"/>
      <c r="C23" s="94"/>
      <c r="D23" s="94"/>
      <c r="E23" s="94"/>
      <c r="F23" s="94"/>
      <c r="G23" s="94"/>
      <c r="H23" s="94"/>
      <c r="I23" s="94"/>
    </row>
    <row r="24" spans="2:14" ht="16.25" customHeight="1" x14ac:dyDescent="0.2">
      <c r="B24" s="94"/>
      <c r="C24" s="136" t="s">
        <v>93</v>
      </c>
      <c r="D24" s="136"/>
      <c r="E24" s="136"/>
      <c r="F24" s="136"/>
      <c r="G24" s="136"/>
      <c r="H24" s="136"/>
      <c r="I24" s="136"/>
      <c r="J24" s="136"/>
      <c r="K24" s="136"/>
      <c r="L24" s="136"/>
      <c r="M24" s="136"/>
      <c r="N24" s="93"/>
    </row>
    <row r="25" spans="2:14" x14ac:dyDescent="0.2">
      <c r="B25" s="94"/>
      <c r="C25" s="136"/>
      <c r="D25" s="136"/>
      <c r="E25" s="136"/>
      <c r="F25" s="136"/>
      <c r="G25" s="136"/>
      <c r="H25" s="136"/>
      <c r="I25" s="136"/>
      <c r="J25" s="136"/>
      <c r="K25" s="136"/>
      <c r="L25" s="136"/>
      <c r="M25" s="136"/>
      <c r="N25" s="93"/>
    </row>
    <row r="26" spans="2:14" x14ac:dyDescent="0.2">
      <c r="B26" s="94"/>
      <c r="C26" s="136"/>
      <c r="D26" s="136"/>
      <c r="E26" s="136"/>
      <c r="F26" s="136"/>
      <c r="G26" s="136"/>
      <c r="H26" s="136"/>
      <c r="I26" s="136"/>
      <c r="J26" s="136"/>
      <c r="K26" s="136"/>
      <c r="L26" s="136"/>
      <c r="M26" s="136"/>
      <c r="N26" s="93"/>
    </row>
    <row r="27" spans="2:14" x14ac:dyDescent="0.2">
      <c r="B27" s="94"/>
      <c r="C27" s="136"/>
      <c r="D27" s="136"/>
      <c r="E27" s="136"/>
      <c r="F27" s="136"/>
      <c r="G27" s="136"/>
      <c r="H27" s="136"/>
      <c r="I27" s="136"/>
      <c r="J27" s="136"/>
      <c r="K27" s="136"/>
      <c r="L27" s="136"/>
      <c r="M27" s="136"/>
      <c r="N27" s="93"/>
    </row>
    <row r="28" spans="2:14" x14ac:dyDescent="0.2">
      <c r="B28" s="94"/>
      <c r="C28" s="93"/>
      <c r="D28" s="93"/>
      <c r="E28" s="93"/>
      <c r="F28" s="93"/>
      <c r="G28" s="93"/>
      <c r="H28" s="93"/>
      <c r="I28" s="93"/>
      <c r="J28" s="93"/>
      <c r="K28" s="93"/>
      <c r="L28" s="93"/>
      <c r="M28" s="93"/>
      <c r="N28" s="93"/>
    </row>
    <row r="29" spans="2:14" x14ac:dyDescent="0.2">
      <c r="B29" s="94"/>
      <c r="C29" s="94"/>
      <c r="D29" s="94"/>
      <c r="E29" s="94"/>
      <c r="F29" s="94"/>
      <c r="G29" s="94"/>
      <c r="H29" s="94"/>
      <c r="I29" s="94"/>
    </row>
    <row r="30" spans="2:14" x14ac:dyDescent="0.2">
      <c r="B30" s="94"/>
      <c r="C30" s="94"/>
      <c r="D30" s="94"/>
      <c r="E30" s="94"/>
      <c r="F30" s="94"/>
      <c r="G30" s="94"/>
      <c r="H30" s="94"/>
      <c r="I30" s="94"/>
    </row>
    <row r="31" spans="2:14" x14ac:dyDescent="0.2">
      <c r="B31" s="94"/>
      <c r="C31" s="94"/>
      <c r="D31" s="94"/>
      <c r="E31" s="94"/>
      <c r="F31" s="94"/>
      <c r="G31" s="94"/>
      <c r="H31" s="94"/>
      <c r="I31" s="94"/>
    </row>
    <row r="32" spans="2:14" x14ac:dyDescent="0.2">
      <c r="B32" s="96">
        <v>2</v>
      </c>
      <c r="C32" s="97" t="s">
        <v>62</v>
      </c>
      <c r="F32" s="94"/>
      <c r="G32" s="94"/>
      <c r="H32" s="94"/>
      <c r="I32" s="94"/>
    </row>
    <row r="33" spans="2:14" x14ac:dyDescent="0.2">
      <c r="B33" s="94"/>
      <c r="C33" s="94"/>
      <c r="D33" s="94"/>
      <c r="E33" s="94"/>
      <c r="F33" s="94"/>
      <c r="G33" s="94"/>
      <c r="H33" s="94"/>
      <c r="I33" s="94"/>
    </row>
    <row r="34" spans="2:14" ht="16.25" customHeight="1" x14ac:dyDescent="0.2">
      <c r="B34" s="94"/>
      <c r="C34" s="136" t="s">
        <v>94</v>
      </c>
      <c r="D34" s="136"/>
      <c r="E34" s="136"/>
      <c r="F34" s="136"/>
      <c r="G34" s="136"/>
      <c r="H34" s="136"/>
      <c r="I34" s="136"/>
      <c r="J34" s="136"/>
      <c r="K34" s="136"/>
      <c r="L34" s="136"/>
      <c r="M34" s="136"/>
      <c r="N34" s="93"/>
    </row>
    <row r="35" spans="2:14" x14ac:dyDescent="0.2">
      <c r="B35" s="94"/>
      <c r="C35" s="136"/>
      <c r="D35" s="136"/>
      <c r="E35" s="136"/>
      <c r="F35" s="136"/>
      <c r="G35" s="136"/>
      <c r="H35" s="136"/>
      <c r="I35" s="136"/>
      <c r="J35" s="136"/>
      <c r="K35" s="136"/>
      <c r="L35" s="136"/>
      <c r="M35" s="136"/>
      <c r="N35" s="93"/>
    </row>
    <row r="36" spans="2:14" x14ac:dyDescent="0.2">
      <c r="B36" s="94"/>
      <c r="C36" s="136"/>
      <c r="D36" s="136"/>
      <c r="E36" s="136"/>
      <c r="F36" s="136"/>
      <c r="G36" s="136"/>
      <c r="H36" s="136"/>
      <c r="I36" s="136"/>
      <c r="J36" s="136"/>
      <c r="K36" s="136"/>
      <c r="L36" s="136"/>
      <c r="M36" s="136"/>
      <c r="N36" s="93"/>
    </row>
    <row r="37" spans="2:14" x14ac:dyDescent="0.2">
      <c r="B37" s="94"/>
      <c r="C37" s="136"/>
      <c r="D37" s="136"/>
      <c r="E37" s="136"/>
      <c r="F37" s="136"/>
      <c r="G37" s="136"/>
      <c r="H37" s="136"/>
      <c r="I37" s="136"/>
      <c r="J37" s="136"/>
      <c r="K37" s="136"/>
      <c r="L37" s="136"/>
      <c r="M37" s="136"/>
      <c r="N37" s="93"/>
    </row>
    <row r="38" spans="2:14" x14ac:dyDescent="0.2">
      <c r="B38" s="94"/>
      <c r="C38" s="136"/>
      <c r="D38" s="136"/>
      <c r="E38" s="136"/>
      <c r="F38" s="136"/>
      <c r="G38" s="136"/>
      <c r="H38" s="136"/>
      <c r="I38" s="136"/>
      <c r="J38" s="136"/>
      <c r="K38" s="136"/>
      <c r="L38" s="136"/>
      <c r="M38" s="136"/>
      <c r="N38" s="93"/>
    </row>
    <row r="39" spans="2:14" x14ac:dyDescent="0.2">
      <c r="B39" s="94"/>
      <c r="C39" s="136"/>
      <c r="D39" s="136"/>
      <c r="E39" s="136"/>
      <c r="F39" s="136"/>
      <c r="G39" s="136"/>
      <c r="H39" s="136"/>
      <c r="I39" s="136"/>
      <c r="J39" s="136"/>
      <c r="K39" s="136"/>
      <c r="L39" s="136"/>
      <c r="M39" s="136"/>
      <c r="N39" s="93"/>
    </row>
    <row r="40" spans="2:14" x14ac:dyDescent="0.2">
      <c r="B40" s="94"/>
      <c r="C40" s="93"/>
      <c r="D40" s="93"/>
      <c r="E40" s="93"/>
      <c r="F40" s="93"/>
      <c r="G40" s="93"/>
      <c r="H40" s="93"/>
      <c r="I40" s="93"/>
      <c r="J40" s="93"/>
      <c r="K40" s="93"/>
      <c r="L40" s="93"/>
      <c r="M40" s="93"/>
      <c r="N40" s="93"/>
    </row>
    <row r="41" spans="2:14" x14ac:dyDescent="0.2">
      <c r="B41" s="94"/>
      <c r="C41" s="139" t="s">
        <v>90</v>
      </c>
      <c r="D41" s="139"/>
      <c r="E41" s="139"/>
      <c r="F41" s="139"/>
      <c r="G41" s="139"/>
      <c r="H41" s="139"/>
      <c r="I41" s="139"/>
      <c r="J41" s="139"/>
      <c r="K41" s="139"/>
      <c r="L41" s="139"/>
      <c r="M41" s="139"/>
    </row>
    <row r="42" spans="2:14" x14ac:dyDescent="0.2">
      <c r="B42" s="94"/>
      <c r="C42" s="139"/>
      <c r="D42" s="139"/>
      <c r="E42" s="139"/>
      <c r="F42" s="139"/>
      <c r="G42" s="139"/>
      <c r="H42" s="139"/>
      <c r="I42" s="139"/>
      <c r="J42" s="139"/>
      <c r="K42" s="139"/>
      <c r="L42" s="139"/>
      <c r="M42" s="139"/>
    </row>
    <row r="43" spans="2:14" x14ac:dyDescent="0.2">
      <c r="B43" s="94"/>
      <c r="C43" s="93"/>
      <c r="D43" s="93"/>
      <c r="E43" s="93"/>
      <c r="F43" s="93"/>
      <c r="G43" s="93"/>
      <c r="H43" s="93"/>
      <c r="I43" s="93"/>
    </row>
    <row r="44" spans="2:14" x14ac:dyDescent="0.2">
      <c r="B44" s="96">
        <v>3</v>
      </c>
      <c r="C44" s="97" t="s">
        <v>100</v>
      </c>
      <c r="F44" s="94"/>
      <c r="G44" s="94"/>
      <c r="H44" s="94"/>
      <c r="I44" s="94"/>
    </row>
    <row r="45" spans="2:14" x14ac:dyDescent="0.2">
      <c r="B45" s="98"/>
    </row>
    <row r="46" spans="2:14" ht="16.25" customHeight="1" x14ac:dyDescent="0.2">
      <c r="C46" s="136" t="s">
        <v>72</v>
      </c>
      <c r="D46" s="136"/>
      <c r="E46" s="136"/>
      <c r="F46" s="136"/>
      <c r="G46" s="136"/>
      <c r="H46" s="136"/>
      <c r="I46" s="136"/>
      <c r="J46" s="136"/>
      <c r="K46" s="136"/>
      <c r="L46" s="136"/>
      <c r="M46" s="136"/>
    </row>
    <row r="47" spans="2:14" x14ac:dyDescent="0.2">
      <c r="C47" s="136"/>
      <c r="D47" s="136"/>
      <c r="E47" s="136"/>
      <c r="F47" s="136"/>
      <c r="G47" s="136"/>
      <c r="H47" s="136"/>
      <c r="I47" s="136"/>
      <c r="J47" s="136"/>
      <c r="K47" s="136"/>
      <c r="L47" s="136"/>
      <c r="M47" s="136"/>
    </row>
    <row r="48" spans="2:14" x14ac:dyDescent="0.2">
      <c r="B48" s="98"/>
      <c r="C48" s="136"/>
      <c r="D48" s="136"/>
      <c r="E48" s="136"/>
      <c r="F48" s="136"/>
      <c r="G48" s="136"/>
      <c r="H48" s="136"/>
      <c r="I48" s="136"/>
      <c r="J48" s="136"/>
      <c r="K48" s="136"/>
      <c r="L48" s="136"/>
      <c r="M48" s="136"/>
    </row>
    <row r="49" spans="2:13" x14ac:dyDescent="0.2">
      <c r="C49" s="136"/>
      <c r="D49" s="136"/>
      <c r="E49" s="136"/>
      <c r="F49" s="136"/>
      <c r="G49" s="136"/>
      <c r="H49" s="136"/>
      <c r="I49" s="136"/>
      <c r="J49" s="136"/>
      <c r="K49" s="136"/>
      <c r="L49" s="136"/>
      <c r="M49" s="136"/>
    </row>
    <row r="50" spans="2:13" x14ac:dyDescent="0.2">
      <c r="C50" s="136"/>
      <c r="D50" s="136"/>
      <c r="E50" s="136"/>
      <c r="F50" s="136"/>
      <c r="G50" s="136"/>
      <c r="H50" s="136"/>
      <c r="I50" s="136"/>
      <c r="J50" s="136"/>
      <c r="K50" s="136"/>
      <c r="L50" s="136"/>
      <c r="M50" s="136"/>
    </row>
    <row r="51" spans="2:13" x14ac:dyDescent="0.2">
      <c r="C51" s="136"/>
      <c r="D51" s="136"/>
      <c r="E51" s="136"/>
      <c r="F51" s="136"/>
      <c r="G51" s="136"/>
      <c r="H51" s="136"/>
      <c r="I51" s="136"/>
      <c r="J51" s="136"/>
      <c r="K51" s="136"/>
      <c r="L51" s="136"/>
      <c r="M51" s="136"/>
    </row>
    <row r="53" spans="2:13" x14ac:dyDescent="0.2">
      <c r="B53" s="96">
        <v>4</v>
      </c>
      <c r="C53" s="97" t="s">
        <v>63</v>
      </c>
    </row>
    <row r="55" spans="2:13" x14ac:dyDescent="0.2">
      <c r="C55" s="138" t="s">
        <v>74</v>
      </c>
      <c r="D55" s="138"/>
      <c r="E55" s="138"/>
      <c r="F55" s="138"/>
      <c r="G55" s="138"/>
      <c r="H55" s="138"/>
      <c r="I55" s="138"/>
      <c r="J55" s="138"/>
      <c r="K55" s="138"/>
      <c r="L55" s="138"/>
      <c r="M55" s="138"/>
    </row>
    <row r="57" spans="2:13" ht="18" customHeight="1" x14ac:dyDescent="0.2">
      <c r="C57" s="99" t="s">
        <v>84</v>
      </c>
      <c r="D57" s="100"/>
      <c r="E57" s="100"/>
      <c r="F57" s="101" t="s">
        <v>83</v>
      </c>
      <c r="G57" s="100"/>
      <c r="H57" s="100"/>
      <c r="I57" s="100"/>
      <c r="J57" s="100"/>
      <c r="K57" s="100"/>
      <c r="L57" s="100"/>
      <c r="M57" s="102"/>
    </row>
    <row r="58" spans="2:13" ht="18" customHeight="1" x14ac:dyDescent="0.2">
      <c r="C58" s="146" t="s">
        <v>96</v>
      </c>
      <c r="D58" s="147"/>
      <c r="E58" s="147"/>
      <c r="F58" s="140" t="s">
        <v>85</v>
      </c>
      <c r="G58" s="140"/>
      <c r="H58" s="140"/>
      <c r="I58" s="140"/>
      <c r="J58" s="140"/>
      <c r="K58" s="140"/>
      <c r="L58" s="140"/>
      <c r="M58" s="130"/>
    </row>
    <row r="59" spans="2:13" ht="18" customHeight="1" x14ac:dyDescent="0.2">
      <c r="C59" s="103"/>
      <c r="D59" s="104"/>
      <c r="E59" s="105"/>
      <c r="F59" s="141"/>
      <c r="G59" s="141"/>
      <c r="H59" s="141"/>
      <c r="I59" s="141"/>
      <c r="J59" s="141"/>
      <c r="K59" s="141"/>
      <c r="L59" s="141"/>
      <c r="M59" s="131"/>
    </row>
    <row r="60" spans="2:13" ht="18" customHeight="1" x14ac:dyDescent="0.2">
      <c r="C60" s="103"/>
      <c r="D60" s="104"/>
      <c r="E60" s="105"/>
      <c r="F60" s="141"/>
      <c r="G60" s="141"/>
      <c r="H60" s="141"/>
      <c r="I60" s="141"/>
      <c r="J60" s="141"/>
      <c r="K60" s="141"/>
      <c r="L60" s="141"/>
      <c r="M60" s="131"/>
    </row>
    <row r="61" spans="2:13" ht="18" customHeight="1" x14ac:dyDescent="0.2">
      <c r="C61" s="103"/>
      <c r="D61" s="104"/>
      <c r="E61" s="105"/>
      <c r="F61" s="141"/>
      <c r="G61" s="141"/>
      <c r="H61" s="141"/>
      <c r="I61" s="141"/>
      <c r="J61" s="141"/>
      <c r="K61" s="141"/>
      <c r="L61" s="141"/>
      <c r="M61" s="131"/>
    </row>
    <row r="62" spans="2:13" ht="18" customHeight="1" x14ac:dyDescent="0.2">
      <c r="C62" s="148" t="s">
        <v>97</v>
      </c>
      <c r="D62" s="149"/>
      <c r="E62" s="149"/>
      <c r="F62" s="142" t="s">
        <v>87</v>
      </c>
      <c r="G62" s="142"/>
      <c r="H62" s="142"/>
      <c r="I62" s="142"/>
      <c r="J62" s="142"/>
      <c r="K62" s="142"/>
      <c r="L62" s="142"/>
      <c r="M62" s="132"/>
    </row>
    <row r="63" spans="2:13" ht="18" customHeight="1" x14ac:dyDescent="0.2">
      <c r="C63" s="106"/>
      <c r="D63" s="107"/>
      <c r="E63" s="108"/>
      <c r="F63" s="142"/>
      <c r="G63" s="142"/>
      <c r="H63" s="142"/>
      <c r="I63" s="142"/>
      <c r="J63" s="142"/>
      <c r="K63" s="142"/>
      <c r="L63" s="142"/>
      <c r="M63" s="132"/>
    </row>
    <row r="64" spans="2:13" ht="18" customHeight="1" x14ac:dyDescent="0.2">
      <c r="C64" s="106"/>
      <c r="D64" s="107"/>
      <c r="E64" s="108"/>
      <c r="F64" s="142"/>
      <c r="G64" s="142"/>
      <c r="H64" s="142"/>
      <c r="I64" s="142"/>
      <c r="J64" s="142"/>
      <c r="K64" s="142"/>
      <c r="L64" s="142"/>
      <c r="M64" s="132"/>
    </row>
    <row r="65" spans="3:13" ht="18" customHeight="1" x14ac:dyDescent="0.2">
      <c r="C65" s="150" t="s">
        <v>98</v>
      </c>
      <c r="D65" s="151"/>
      <c r="E65" s="151"/>
      <c r="F65" s="143" t="s">
        <v>88</v>
      </c>
      <c r="G65" s="143"/>
      <c r="H65" s="143"/>
      <c r="I65" s="143"/>
      <c r="J65" s="143"/>
      <c r="K65" s="143"/>
      <c r="L65" s="143"/>
      <c r="M65" s="133"/>
    </row>
    <row r="66" spans="3:13" ht="18" customHeight="1" x14ac:dyDescent="0.2">
      <c r="C66" s="109"/>
      <c r="D66" s="110"/>
      <c r="E66" s="111"/>
      <c r="F66" s="143"/>
      <c r="G66" s="143"/>
      <c r="H66" s="143"/>
      <c r="I66" s="143"/>
      <c r="J66" s="143"/>
      <c r="K66" s="143"/>
      <c r="L66" s="143"/>
      <c r="M66" s="133"/>
    </row>
    <row r="67" spans="3:13" ht="18" customHeight="1" x14ac:dyDescent="0.2">
      <c r="C67" s="109"/>
      <c r="D67" s="110"/>
      <c r="E67" s="111"/>
      <c r="F67" s="143"/>
      <c r="G67" s="143"/>
      <c r="H67" s="143"/>
      <c r="I67" s="143"/>
      <c r="J67" s="143"/>
      <c r="K67" s="143"/>
      <c r="L67" s="143"/>
      <c r="M67" s="133"/>
    </row>
    <row r="68" spans="3:13" ht="18" customHeight="1" x14ac:dyDescent="0.2">
      <c r="C68" s="109"/>
      <c r="D68" s="110"/>
      <c r="E68" s="111"/>
      <c r="F68" s="143"/>
      <c r="G68" s="143"/>
      <c r="H68" s="143"/>
      <c r="I68" s="143"/>
      <c r="J68" s="143"/>
      <c r="K68" s="143"/>
      <c r="L68" s="143"/>
      <c r="M68" s="133"/>
    </row>
    <row r="69" spans="3:13" ht="18" customHeight="1" x14ac:dyDescent="0.2">
      <c r="C69" s="152" t="s">
        <v>99</v>
      </c>
      <c r="D69" s="153"/>
      <c r="E69" s="153"/>
      <c r="F69" s="144" t="s">
        <v>89</v>
      </c>
      <c r="G69" s="144"/>
      <c r="H69" s="144"/>
      <c r="I69" s="144"/>
      <c r="J69" s="144"/>
      <c r="K69" s="144"/>
      <c r="L69" s="144"/>
      <c r="M69" s="134"/>
    </row>
    <row r="70" spans="3:13" ht="18" customHeight="1" x14ac:dyDescent="0.2">
      <c r="C70" s="112"/>
      <c r="D70" s="113"/>
      <c r="E70" s="113"/>
      <c r="F70" s="144"/>
      <c r="G70" s="144"/>
      <c r="H70" s="144"/>
      <c r="I70" s="144"/>
      <c r="J70" s="144"/>
      <c r="K70" s="144"/>
      <c r="L70" s="144"/>
      <c r="M70" s="134"/>
    </row>
    <row r="71" spans="3:13" ht="18" customHeight="1" x14ac:dyDescent="0.2">
      <c r="C71" s="112"/>
      <c r="D71" s="113"/>
      <c r="E71" s="113"/>
      <c r="F71" s="144"/>
      <c r="G71" s="144"/>
      <c r="H71" s="144"/>
      <c r="I71" s="144"/>
      <c r="J71" s="144"/>
      <c r="K71" s="144"/>
      <c r="L71" s="144"/>
      <c r="M71" s="134"/>
    </row>
    <row r="72" spans="3:13" ht="18" customHeight="1" x14ac:dyDescent="0.2">
      <c r="C72" s="114"/>
      <c r="D72" s="115"/>
      <c r="E72" s="115"/>
      <c r="F72" s="145"/>
      <c r="G72" s="145"/>
      <c r="H72" s="145"/>
      <c r="I72" s="145"/>
      <c r="J72" s="145"/>
      <c r="K72" s="145"/>
      <c r="L72" s="145"/>
      <c r="M72" s="135"/>
    </row>
    <row r="74" spans="3:13" x14ac:dyDescent="0.2">
      <c r="C74" s="136" t="s">
        <v>76</v>
      </c>
      <c r="D74" s="136"/>
      <c r="E74" s="136"/>
      <c r="F74" s="136"/>
      <c r="G74" s="136"/>
      <c r="H74" s="136"/>
      <c r="I74" s="136"/>
      <c r="J74" s="136"/>
      <c r="K74" s="136"/>
      <c r="L74" s="136"/>
      <c r="M74" s="136"/>
    </row>
    <row r="75" spans="3:13" x14ac:dyDescent="0.2">
      <c r="C75" s="136"/>
      <c r="D75" s="136"/>
      <c r="E75" s="136"/>
      <c r="F75" s="136"/>
      <c r="G75" s="136"/>
      <c r="H75" s="136"/>
      <c r="I75" s="136"/>
      <c r="J75" s="136"/>
      <c r="K75" s="136"/>
      <c r="L75" s="136"/>
      <c r="M75" s="136"/>
    </row>
    <row r="76" spans="3:13" x14ac:dyDescent="0.2">
      <c r="C76" s="136"/>
      <c r="D76" s="136"/>
      <c r="E76" s="136"/>
      <c r="F76" s="136"/>
      <c r="G76" s="136"/>
      <c r="H76" s="136"/>
      <c r="I76" s="136"/>
      <c r="J76" s="136"/>
      <c r="K76" s="136"/>
      <c r="L76" s="136"/>
      <c r="M76" s="136"/>
    </row>
    <row r="77" spans="3:13" x14ac:dyDescent="0.2">
      <c r="C77" s="116"/>
      <c r="D77" s="116"/>
      <c r="E77" s="116"/>
      <c r="F77" s="116"/>
      <c r="G77" s="116"/>
      <c r="H77" s="116"/>
      <c r="I77" s="116"/>
      <c r="J77" s="116"/>
      <c r="K77" s="116"/>
      <c r="L77" s="116"/>
      <c r="M77" s="116"/>
    </row>
    <row r="78" spans="3:13" ht="16.25" customHeight="1" x14ac:dyDescent="0.2">
      <c r="C78" s="136" t="s">
        <v>77</v>
      </c>
      <c r="D78" s="136"/>
      <c r="E78" s="136"/>
      <c r="F78" s="136"/>
      <c r="G78" s="136"/>
      <c r="H78" s="136"/>
      <c r="I78" s="136"/>
      <c r="J78" s="136"/>
      <c r="K78" s="136"/>
      <c r="L78" s="136"/>
      <c r="M78" s="136"/>
    </row>
    <row r="79" spans="3:13" x14ac:dyDescent="0.2">
      <c r="C79" s="136"/>
      <c r="D79" s="136"/>
      <c r="E79" s="136"/>
      <c r="F79" s="136"/>
      <c r="G79" s="136"/>
      <c r="H79" s="136"/>
      <c r="I79" s="136"/>
      <c r="J79" s="136"/>
      <c r="K79" s="136"/>
      <c r="L79" s="136"/>
      <c r="M79" s="136"/>
    </row>
    <row r="80" spans="3:13" x14ac:dyDescent="0.2">
      <c r="C80" s="136"/>
      <c r="D80" s="136"/>
      <c r="E80" s="136"/>
      <c r="F80" s="136"/>
      <c r="G80" s="136"/>
      <c r="H80" s="136"/>
      <c r="I80" s="136"/>
      <c r="J80" s="136"/>
      <c r="K80" s="136"/>
      <c r="L80" s="136"/>
      <c r="M80" s="136"/>
    </row>
    <row r="81" spans="3:13" x14ac:dyDescent="0.2">
      <c r="C81" s="136"/>
      <c r="D81" s="136"/>
      <c r="E81" s="136"/>
      <c r="F81" s="136"/>
      <c r="G81" s="136"/>
      <c r="H81" s="136"/>
      <c r="I81" s="136"/>
      <c r="J81" s="136"/>
      <c r="K81" s="136"/>
      <c r="L81" s="136"/>
      <c r="M81" s="136"/>
    </row>
    <row r="84" spans="3:13" ht="16.25" customHeight="1" x14ac:dyDescent="0.2">
      <c r="C84" s="136" t="s">
        <v>95</v>
      </c>
      <c r="D84" s="136"/>
      <c r="E84" s="136"/>
      <c r="F84" s="136"/>
      <c r="G84" s="136"/>
      <c r="H84" s="136"/>
      <c r="I84" s="136"/>
      <c r="J84" s="136"/>
      <c r="K84" s="136"/>
      <c r="L84" s="136"/>
      <c r="M84" s="136"/>
    </row>
    <row r="85" spans="3:13" x14ac:dyDescent="0.2">
      <c r="C85" s="136"/>
      <c r="D85" s="136"/>
      <c r="E85" s="136"/>
      <c r="F85" s="136"/>
      <c r="G85" s="136"/>
      <c r="H85" s="136"/>
      <c r="I85" s="136"/>
      <c r="J85" s="136"/>
      <c r="K85" s="136"/>
      <c r="L85" s="136"/>
      <c r="M85" s="136"/>
    </row>
    <row r="87" spans="3:13" x14ac:dyDescent="0.2">
      <c r="C87" s="92" t="s">
        <v>75</v>
      </c>
      <c r="D87" s="136" t="s">
        <v>78</v>
      </c>
      <c r="E87" s="136"/>
      <c r="F87" s="136"/>
      <c r="G87" s="136"/>
      <c r="H87" s="136"/>
      <c r="I87" s="136"/>
      <c r="J87" s="136"/>
      <c r="K87" s="136"/>
      <c r="L87" s="136"/>
      <c r="M87" s="136"/>
    </row>
    <row r="88" spans="3:13" x14ac:dyDescent="0.2">
      <c r="D88" s="136"/>
      <c r="E88" s="136"/>
      <c r="F88" s="136"/>
      <c r="G88" s="136"/>
      <c r="H88" s="136"/>
      <c r="I88" s="136"/>
      <c r="J88" s="136"/>
      <c r="K88" s="136"/>
      <c r="L88" s="136"/>
      <c r="M88" s="136"/>
    </row>
    <row r="90" spans="3:13" x14ac:dyDescent="0.2">
      <c r="C90" s="92" t="s">
        <v>75</v>
      </c>
      <c r="D90" s="136" t="s">
        <v>79</v>
      </c>
      <c r="E90" s="136"/>
      <c r="F90" s="136"/>
      <c r="G90" s="136"/>
      <c r="H90" s="136"/>
      <c r="I90" s="136"/>
      <c r="J90" s="136"/>
      <c r="K90" s="136"/>
      <c r="L90" s="136"/>
      <c r="M90" s="136"/>
    </row>
    <row r="91" spans="3:13" x14ac:dyDescent="0.2">
      <c r="D91" s="136"/>
      <c r="E91" s="136"/>
      <c r="F91" s="136"/>
      <c r="G91" s="136"/>
      <c r="H91" s="136"/>
      <c r="I91" s="136"/>
      <c r="J91" s="136"/>
      <c r="K91" s="136"/>
      <c r="L91" s="136"/>
      <c r="M91" s="136"/>
    </row>
    <row r="93" spans="3:13" x14ac:dyDescent="0.2">
      <c r="C93" s="92" t="s">
        <v>75</v>
      </c>
      <c r="D93" s="138" t="s">
        <v>80</v>
      </c>
      <c r="E93" s="138"/>
      <c r="F93" s="138"/>
      <c r="G93" s="138"/>
      <c r="H93" s="138"/>
      <c r="I93" s="138"/>
      <c r="J93" s="138"/>
      <c r="K93" s="138"/>
      <c r="L93" s="138"/>
      <c r="M93" s="138"/>
    </row>
    <row r="95" spans="3:13" ht="16.25" customHeight="1" x14ac:dyDescent="0.2">
      <c r="C95" s="136" t="s">
        <v>81</v>
      </c>
      <c r="D95" s="136"/>
      <c r="E95" s="136"/>
      <c r="F95" s="136"/>
      <c r="G95" s="136"/>
      <c r="H95" s="136"/>
      <c r="I95" s="136"/>
      <c r="J95" s="136"/>
      <c r="K95" s="136"/>
      <c r="L95" s="136"/>
      <c r="M95" s="136"/>
    </row>
    <row r="96" spans="3:13" x14ac:dyDescent="0.2">
      <c r="C96" s="136"/>
      <c r="D96" s="136"/>
      <c r="E96" s="136"/>
      <c r="F96" s="136"/>
      <c r="G96" s="136"/>
      <c r="H96" s="136"/>
      <c r="I96" s="136"/>
      <c r="J96" s="136"/>
      <c r="K96" s="136"/>
      <c r="L96" s="136"/>
      <c r="M96" s="136"/>
    </row>
    <row r="97" spans="3:13" x14ac:dyDescent="0.2">
      <c r="C97" s="136"/>
      <c r="D97" s="136"/>
      <c r="E97" s="136"/>
      <c r="F97" s="136"/>
      <c r="G97" s="136"/>
      <c r="H97" s="136"/>
      <c r="I97" s="136"/>
      <c r="J97" s="136"/>
      <c r="K97" s="136"/>
      <c r="L97" s="136"/>
      <c r="M97" s="136"/>
    </row>
    <row r="99" spans="3:13" x14ac:dyDescent="0.2">
      <c r="C99" s="137" t="s">
        <v>82</v>
      </c>
      <c r="D99" s="137"/>
      <c r="E99" s="137"/>
      <c r="F99" s="137"/>
      <c r="G99" s="137"/>
      <c r="H99" s="137"/>
      <c r="I99" s="137"/>
      <c r="J99" s="137"/>
      <c r="K99" s="137"/>
      <c r="L99" s="137"/>
      <c r="M99" s="137"/>
    </row>
    <row r="102" spans="3:13" x14ac:dyDescent="0.2">
      <c r="C102" s="117"/>
    </row>
  </sheetData>
  <sheetProtection password="C5D2" sheet="1" objects="1" scenarios="1" formatColumns="0" formatRows="0" selectLockedCells="1"/>
  <mergeCells count="25">
    <mergeCell ref="C74:M76"/>
    <mergeCell ref="F58:L61"/>
    <mergeCell ref="F62:L64"/>
    <mergeCell ref="F65:L68"/>
    <mergeCell ref="F69:L72"/>
    <mergeCell ref="C58:E58"/>
    <mergeCell ref="C62:E62"/>
    <mergeCell ref="C65:E65"/>
    <mergeCell ref="C69:E69"/>
    <mergeCell ref="C95:M97"/>
    <mergeCell ref="C99:M99"/>
    <mergeCell ref="B12:M13"/>
    <mergeCell ref="B15:M15"/>
    <mergeCell ref="B17:M17"/>
    <mergeCell ref="B19:M20"/>
    <mergeCell ref="C24:M27"/>
    <mergeCell ref="C34:M39"/>
    <mergeCell ref="C46:M51"/>
    <mergeCell ref="C55:M55"/>
    <mergeCell ref="C41:M42"/>
    <mergeCell ref="C78:M81"/>
    <mergeCell ref="C84:M85"/>
    <mergeCell ref="D87:M88"/>
    <mergeCell ref="D90:M91"/>
    <mergeCell ref="D93:M93"/>
  </mergeCells>
  <phoneticPr fontId="3" type="noConversion"/>
  <hyperlinks>
    <hyperlink ref="B17" r:id="rId1"/>
    <hyperlink ref="C99" r:id="rId2"/>
  </hyperlinks>
  <printOptions horizontalCentered="1"/>
  <pageMargins left="0.75" right="0.75" top="0.75" bottom="0.75" header="0.5" footer="0.5"/>
  <pageSetup fitToHeight="0" orientation="portrait" r:id="rId3"/>
  <headerFooter differentFirst="1">
    <oddHeader>&amp;L&amp;"Calibri,Regular"&amp;11&amp;K676767LifeScore™ Assessment&amp;R&amp;11 &amp;K676767 Version 1.8</oddHeader>
    <oddFooter>&amp;L&amp;"Calibri (Body),Regular"&amp;11&amp;K01+047© 2015, Intentional Leadership, LLC. &amp;10All Rights Reserved.&amp;R&amp;"Calibri (Body),Regular"&amp;11&amp;K01+048Page &amp;P</oddFooter>
    <firstFooter>&amp;L&amp;"Calibri (Body),Regular"&amp;11&amp;K01+046© 2015, Intentional Leadership, LLC. All Rights Reserved.&amp;R&amp;"Calibri (Body),Regular"&amp;11&amp;K01+046Page &amp;P</firstFooter>
  </headerFooter>
  <rowBreaks count="2" manualBreakCount="2">
    <brk id="42" max="12" man="1"/>
    <brk id="82" max="12" man="1"/>
  </rowBreaks>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pageSetUpPr fitToPage="1"/>
  </sheetPr>
  <dimension ref="A2:AD116"/>
  <sheetViews>
    <sheetView showGridLines="0" showRowColHeaders="0" zoomScaleSheetLayoutView="80" workbookViewId="0">
      <pane ySplit="14" topLeftCell="A15" activePane="bottomLeft" state="frozen"/>
      <selection pane="bottomLeft" activeCell="P10" sqref="P10:U12"/>
    </sheetView>
  </sheetViews>
  <sheetFormatPr baseColWidth="10" defaultColWidth="10.5" defaultRowHeight="16" x14ac:dyDescent="0.2"/>
  <cols>
    <col min="1" max="2" width="4.5" style="1" customWidth="1"/>
    <col min="3" max="3" width="31.6640625" style="1" customWidth="1"/>
    <col min="4" max="5" width="1" style="1" customWidth="1"/>
    <col min="6" max="8" width="12" style="1" customWidth="1"/>
    <col min="9" max="10" width="1" style="1" customWidth="1"/>
    <col min="11" max="13" width="12" style="1" customWidth="1"/>
    <col min="14" max="15" width="1" style="1" customWidth="1"/>
    <col min="16" max="18" width="12" style="1" customWidth="1"/>
    <col min="19" max="20" width="1" style="1" customWidth="1"/>
    <col min="21" max="23" width="12" style="1" customWidth="1"/>
    <col min="24" max="25" width="1" style="1" customWidth="1"/>
    <col min="26" max="26" width="12" style="1" customWidth="1"/>
    <col min="27" max="28" width="6" style="1" customWidth="1"/>
    <col min="29" max="29" width="10.5" style="1"/>
    <col min="30" max="30" width="1" style="1" customWidth="1"/>
    <col min="31" max="16384" width="10.5" style="1"/>
  </cols>
  <sheetData>
    <row r="2" spans="1:30" ht="7.25" customHeight="1" x14ac:dyDescent="0.25">
      <c r="Y2" s="118"/>
      <c r="Z2" s="119"/>
      <c r="AA2" s="119"/>
      <c r="AB2" s="119"/>
      <c r="AC2" s="119"/>
      <c r="AD2" s="120"/>
    </row>
    <row r="3" spans="1:30" ht="22.25" customHeight="1" x14ac:dyDescent="0.35">
      <c r="A3" s="121"/>
      <c r="Y3" s="122"/>
      <c r="Z3" s="160" t="s">
        <v>59</v>
      </c>
      <c r="AA3" s="160"/>
      <c r="AB3" s="160"/>
      <c r="AC3" s="160"/>
      <c r="AD3" s="123"/>
    </row>
    <row r="4" spans="1:30" ht="10.25" customHeight="1" x14ac:dyDescent="0.2">
      <c r="Y4" s="122"/>
      <c r="Z4" s="197">
        <f>SUBTOTAL(109,Z15:Z118)/TotalDomains*10</f>
        <v>0</v>
      </c>
      <c r="AA4" s="197"/>
      <c r="AB4" s="197"/>
      <c r="AC4" s="197"/>
      <c r="AD4" s="123"/>
    </row>
    <row r="5" spans="1:30" ht="16.25" customHeight="1" x14ac:dyDescent="0.2">
      <c r="Y5" s="122"/>
      <c r="Z5" s="197"/>
      <c r="AA5" s="197"/>
      <c r="AB5" s="197"/>
      <c r="AC5" s="197"/>
      <c r="AD5" s="123"/>
    </row>
    <row r="6" spans="1:30" ht="16.25" customHeight="1" x14ac:dyDescent="0.2">
      <c r="Y6" s="122"/>
      <c r="Z6" s="197"/>
      <c r="AA6" s="197"/>
      <c r="AB6" s="197"/>
      <c r="AC6" s="197"/>
      <c r="AD6" s="123"/>
    </row>
    <row r="7" spans="1:30" ht="16.25" customHeight="1" x14ac:dyDescent="0.2">
      <c r="Y7" s="122"/>
      <c r="Z7" s="197"/>
      <c r="AA7" s="197"/>
      <c r="AB7" s="197"/>
      <c r="AC7" s="197"/>
      <c r="AD7" s="123"/>
    </row>
    <row r="8" spans="1:30" ht="29" customHeight="1" x14ac:dyDescent="0.2">
      <c r="Y8" s="122"/>
      <c r="Z8" s="197"/>
      <c r="AA8" s="197"/>
      <c r="AB8" s="197"/>
      <c r="AC8" s="197"/>
      <c r="AD8" s="123"/>
    </row>
    <row r="9" spans="1:30" ht="20" customHeight="1" x14ac:dyDescent="0.2">
      <c r="B9" s="124"/>
      <c r="C9" s="124"/>
      <c r="D9" s="124"/>
      <c r="E9" s="124"/>
      <c r="F9" s="124"/>
      <c r="G9" s="124"/>
      <c r="H9" s="124"/>
      <c r="I9" s="124"/>
      <c r="J9" s="124"/>
      <c r="K9" s="124"/>
      <c r="L9" s="124"/>
      <c r="M9" s="124"/>
      <c r="N9" s="124"/>
      <c r="P9" s="125" t="s">
        <v>13</v>
      </c>
      <c r="V9" s="125" t="s">
        <v>14</v>
      </c>
      <c r="Y9" s="126"/>
      <c r="Z9" s="198"/>
      <c r="AA9" s="198"/>
      <c r="AB9" s="198"/>
      <c r="AC9" s="198"/>
      <c r="AD9" s="127"/>
    </row>
    <row r="10" spans="1:30" ht="17" customHeight="1" x14ac:dyDescent="0.2">
      <c r="A10" s="128"/>
      <c r="B10" s="128"/>
      <c r="C10" s="128"/>
      <c r="D10" s="128"/>
      <c r="E10" s="128"/>
      <c r="F10" s="128"/>
      <c r="G10" s="128"/>
      <c r="H10" s="128"/>
      <c r="I10" s="128"/>
      <c r="J10" s="128"/>
      <c r="K10" s="128"/>
      <c r="L10" s="128"/>
      <c r="M10" s="128"/>
      <c r="N10" s="128"/>
      <c r="P10" s="199"/>
      <c r="Q10" s="200"/>
      <c r="R10" s="200"/>
      <c r="S10" s="200"/>
      <c r="T10" s="200"/>
      <c r="U10" s="201"/>
      <c r="V10" s="208">
        <v>40502</v>
      </c>
      <c r="W10" s="209"/>
      <c r="Y10" s="161" t="s">
        <v>60</v>
      </c>
      <c r="Z10" s="162"/>
      <c r="AA10" s="163"/>
      <c r="AB10" s="161" t="s">
        <v>11</v>
      </c>
      <c r="AC10" s="162"/>
      <c r="AD10" s="163"/>
    </row>
    <row r="11" spans="1:30" ht="16.25" customHeight="1" x14ac:dyDescent="0.2">
      <c r="A11" s="128"/>
      <c r="B11" s="128"/>
      <c r="C11" s="128"/>
      <c r="D11" s="128"/>
      <c r="E11" s="128"/>
      <c r="F11" s="128"/>
      <c r="G11" s="128"/>
      <c r="H11" s="128"/>
      <c r="I11" s="128"/>
      <c r="J11" s="128"/>
      <c r="K11" s="128"/>
      <c r="L11" s="128"/>
      <c r="M11" s="128"/>
      <c r="N11" s="128"/>
      <c r="P11" s="202"/>
      <c r="Q11" s="203"/>
      <c r="R11" s="203"/>
      <c r="S11" s="203"/>
      <c r="T11" s="203"/>
      <c r="U11" s="204"/>
      <c r="V11" s="210"/>
      <c r="W11" s="211"/>
      <c r="Y11" s="170">
        <f>SUBTOTAL(109,AA14:AA116)</f>
        <v>0</v>
      </c>
      <c r="Z11" s="171"/>
      <c r="AA11" s="172"/>
      <c r="AB11" s="164">
        <f>SUBTOTAL(109,AC14:AC116)</f>
        <v>0</v>
      </c>
      <c r="AC11" s="165"/>
      <c r="AD11" s="166"/>
    </row>
    <row r="12" spans="1:30" ht="17" customHeight="1" x14ac:dyDescent="0.2">
      <c r="A12" s="128"/>
      <c r="B12" s="128"/>
      <c r="C12" s="128"/>
      <c r="D12" s="128"/>
      <c r="E12" s="128"/>
      <c r="F12" s="128"/>
      <c r="G12" s="128"/>
      <c r="H12" s="128"/>
      <c r="I12" s="128"/>
      <c r="J12" s="128"/>
      <c r="K12" s="128"/>
      <c r="L12" s="128"/>
      <c r="M12" s="128"/>
      <c r="N12" s="128"/>
      <c r="P12" s="205"/>
      <c r="Q12" s="206"/>
      <c r="R12" s="206"/>
      <c r="S12" s="206"/>
      <c r="T12" s="206"/>
      <c r="U12" s="207"/>
      <c r="V12" s="212"/>
      <c r="W12" s="213"/>
      <c r="Y12" s="173"/>
      <c r="Z12" s="174"/>
      <c r="AA12" s="175"/>
      <c r="AB12" s="167"/>
      <c r="AC12" s="168"/>
      <c r="AD12" s="169"/>
    </row>
    <row r="14" spans="1:30" ht="22.25" customHeight="1" x14ac:dyDescent="0.3">
      <c r="A14" s="2" t="s">
        <v>12</v>
      </c>
      <c r="B14" s="3"/>
      <c r="C14" s="3"/>
      <c r="D14" s="4"/>
      <c r="E14" s="5"/>
      <c r="F14" s="6">
        <v>1</v>
      </c>
      <c r="G14" s="7">
        <v>2</v>
      </c>
      <c r="H14" s="8">
        <v>3</v>
      </c>
      <c r="I14" s="9"/>
      <c r="J14" s="31"/>
      <c r="K14" s="32">
        <v>4</v>
      </c>
      <c r="L14" s="33">
        <v>5</v>
      </c>
      <c r="M14" s="34">
        <v>6</v>
      </c>
      <c r="N14" s="31"/>
      <c r="O14" s="35"/>
      <c r="P14" s="36">
        <v>7</v>
      </c>
      <c r="Q14" s="37">
        <v>8</v>
      </c>
      <c r="R14" s="38">
        <v>9</v>
      </c>
      <c r="S14" s="35"/>
      <c r="T14" s="39"/>
      <c r="U14" s="40">
        <v>10</v>
      </c>
      <c r="V14" s="41">
        <v>11</v>
      </c>
      <c r="W14" s="42">
        <v>12</v>
      </c>
      <c r="X14" s="39"/>
      <c r="Y14" s="43"/>
      <c r="Z14" s="89" t="s">
        <v>0</v>
      </c>
      <c r="AA14" s="195" t="s">
        <v>1</v>
      </c>
      <c r="AB14" s="196"/>
      <c r="AC14" s="88" t="s">
        <v>11</v>
      </c>
      <c r="AD14" s="44"/>
    </row>
    <row r="15" spans="1:30" ht="6" customHeight="1" x14ac:dyDescent="0.25">
      <c r="A15" s="10"/>
      <c r="B15" s="11"/>
      <c r="C15" s="12"/>
      <c r="D15" s="13"/>
      <c r="E15" s="14"/>
      <c r="F15" s="15"/>
      <c r="G15" s="15"/>
      <c r="H15" s="15"/>
      <c r="I15" s="16"/>
      <c r="J15" s="45"/>
      <c r="K15" s="46"/>
      <c r="L15" s="46"/>
      <c r="M15" s="46"/>
      <c r="N15" s="47"/>
      <c r="O15" s="48"/>
      <c r="P15" s="49"/>
      <c r="Q15" s="49"/>
      <c r="R15" s="49"/>
      <c r="S15" s="50"/>
      <c r="T15" s="51"/>
      <c r="U15" s="52"/>
      <c r="V15" s="52"/>
      <c r="W15" s="52"/>
      <c r="X15" s="53"/>
      <c r="Y15" s="54"/>
      <c r="Z15" s="83"/>
      <c r="AA15" s="55"/>
      <c r="AB15" s="56"/>
      <c r="AC15" s="54"/>
      <c r="AD15" s="57"/>
    </row>
    <row r="16" spans="1:30" ht="25.25" customHeight="1" x14ac:dyDescent="0.2">
      <c r="A16" s="158" t="s">
        <v>15</v>
      </c>
      <c r="B16" s="17">
        <f>VLOOKUP(C16,ControlPanel!$B$2:$D$11,3,FALSE)</f>
        <v>1</v>
      </c>
      <c r="C16" s="18" t="s">
        <v>2</v>
      </c>
      <c r="D16" s="179"/>
      <c r="E16" s="19"/>
      <c r="F16" s="214" t="s">
        <v>19</v>
      </c>
      <c r="G16" s="214"/>
      <c r="H16" s="214"/>
      <c r="I16" s="180"/>
      <c r="J16" s="181"/>
      <c r="K16" s="193" t="s">
        <v>49</v>
      </c>
      <c r="L16" s="193"/>
      <c r="M16" s="193"/>
      <c r="N16" s="182"/>
      <c r="O16" s="183"/>
      <c r="P16" s="192" t="s">
        <v>20</v>
      </c>
      <c r="Q16" s="192"/>
      <c r="R16" s="192"/>
      <c r="S16" s="184"/>
      <c r="T16" s="185"/>
      <c r="U16" s="191" t="s">
        <v>50</v>
      </c>
      <c r="V16" s="191"/>
      <c r="W16" s="191"/>
      <c r="X16" s="176"/>
      <c r="Y16" s="177"/>
      <c r="Z16" s="84">
        <v>0</v>
      </c>
      <c r="AA16" s="156">
        <v>0</v>
      </c>
      <c r="AB16" s="157"/>
      <c r="AC16" s="58">
        <f>Z16-AA16</f>
        <v>0</v>
      </c>
      <c r="AD16" s="178"/>
    </row>
    <row r="17" spans="1:30" ht="25.25" customHeight="1" x14ac:dyDescent="0.2">
      <c r="A17" s="158"/>
      <c r="B17" s="20"/>
      <c r="C17" s="215"/>
      <c r="D17" s="179"/>
      <c r="E17" s="19"/>
      <c r="F17" s="214"/>
      <c r="G17" s="214"/>
      <c r="H17" s="214"/>
      <c r="I17" s="180"/>
      <c r="J17" s="181"/>
      <c r="K17" s="193"/>
      <c r="L17" s="193"/>
      <c r="M17" s="193"/>
      <c r="N17" s="182"/>
      <c r="O17" s="183"/>
      <c r="P17" s="192"/>
      <c r="Q17" s="192"/>
      <c r="R17" s="192"/>
      <c r="S17" s="184"/>
      <c r="T17" s="185"/>
      <c r="U17" s="191"/>
      <c r="V17" s="191"/>
      <c r="W17" s="191"/>
      <c r="X17" s="176"/>
      <c r="Y17" s="177"/>
      <c r="Z17" s="59"/>
      <c r="AA17" s="188"/>
      <c r="AB17" s="189"/>
      <c r="AC17" s="60"/>
      <c r="AD17" s="178"/>
    </row>
    <row r="18" spans="1:30" ht="25.25" customHeight="1" x14ac:dyDescent="0.2">
      <c r="A18" s="158"/>
      <c r="B18" s="20"/>
      <c r="C18" s="215"/>
      <c r="D18" s="179"/>
      <c r="E18" s="19"/>
      <c r="F18" s="214"/>
      <c r="G18" s="214"/>
      <c r="H18" s="214"/>
      <c r="I18" s="180"/>
      <c r="J18" s="181"/>
      <c r="K18" s="193"/>
      <c r="L18" s="193"/>
      <c r="M18" s="193"/>
      <c r="N18" s="182"/>
      <c r="O18" s="183"/>
      <c r="P18" s="192"/>
      <c r="Q18" s="192"/>
      <c r="R18" s="192"/>
      <c r="S18" s="184"/>
      <c r="T18" s="185"/>
      <c r="U18" s="191"/>
      <c r="V18" s="191"/>
      <c r="W18" s="191"/>
      <c r="X18" s="176"/>
      <c r="Y18" s="177"/>
      <c r="Z18" s="59"/>
      <c r="AA18" s="188"/>
      <c r="AB18" s="189"/>
      <c r="AC18" s="60"/>
      <c r="AD18" s="178"/>
    </row>
    <row r="19" spans="1:30" ht="25.25" customHeight="1" x14ac:dyDescent="0.2">
      <c r="A19" s="158"/>
      <c r="B19" s="20"/>
      <c r="C19" s="215"/>
      <c r="D19" s="179"/>
      <c r="E19" s="19"/>
      <c r="F19" s="214"/>
      <c r="G19" s="214"/>
      <c r="H19" s="214"/>
      <c r="I19" s="180"/>
      <c r="J19" s="181"/>
      <c r="K19" s="193"/>
      <c r="L19" s="193"/>
      <c r="M19" s="193"/>
      <c r="N19" s="182"/>
      <c r="O19" s="183"/>
      <c r="P19" s="192"/>
      <c r="Q19" s="192"/>
      <c r="R19" s="192"/>
      <c r="S19" s="184"/>
      <c r="T19" s="185"/>
      <c r="U19" s="191"/>
      <c r="V19" s="191"/>
      <c r="W19" s="191"/>
      <c r="X19" s="176"/>
      <c r="Y19" s="177"/>
      <c r="Z19" s="59"/>
      <c r="AA19" s="188"/>
      <c r="AB19" s="189"/>
      <c r="AC19" s="60"/>
      <c r="AD19" s="178"/>
    </row>
    <row r="20" spans="1:30" ht="25.25" customHeight="1" x14ac:dyDescent="0.2">
      <c r="A20" s="158"/>
      <c r="B20" s="20"/>
      <c r="C20" s="215"/>
      <c r="D20" s="179"/>
      <c r="E20" s="19"/>
      <c r="F20" s="214"/>
      <c r="G20" s="214"/>
      <c r="H20" s="214"/>
      <c r="I20" s="180"/>
      <c r="J20" s="181"/>
      <c r="K20" s="193"/>
      <c r="L20" s="193"/>
      <c r="M20" s="193"/>
      <c r="N20" s="182"/>
      <c r="O20" s="183"/>
      <c r="P20" s="192"/>
      <c r="Q20" s="192"/>
      <c r="R20" s="192"/>
      <c r="S20" s="184"/>
      <c r="T20" s="185"/>
      <c r="U20" s="191"/>
      <c r="V20" s="191"/>
      <c r="W20" s="191"/>
      <c r="X20" s="176"/>
      <c r="Y20" s="177"/>
      <c r="Z20" s="59"/>
      <c r="AA20" s="188"/>
      <c r="AB20" s="189"/>
      <c r="AC20" s="60"/>
      <c r="AD20" s="178"/>
    </row>
    <row r="21" spans="1:30" ht="25.25" customHeight="1" x14ac:dyDescent="0.2">
      <c r="A21" s="158"/>
      <c r="B21" s="21"/>
      <c r="C21" s="215"/>
      <c r="D21" s="179"/>
      <c r="E21" s="19"/>
      <c r="F21" s="214"/>
      <c r="G21" s="214"/>
      <c r="H21" s="214"/>
      <c r="I21" s="180"/>
      <c r="J21" s="181"/>
      <c r="K21" s="193"/>
      <c r="L21" s="193"/>
      <c r="M21" s="193"/>
      <c r="N21" s="182"/>
      <c r="O21" s="183"/>
      <c r="P21" s="192"/>
      <c r="Q21" s="192"/>
      <c r="R21" s="192"/>
      <c r="S21" s="184"/>
      <c r="T21" s="185"/>
      <c r="U21" s="191"/>
      <c r="V21" s="191"/>
      <c r="W21" s="191"/>
      <c r="X21" s="176"/>
      <c r="Y21" s="177"/>
      <c r="Z21" s="59"/>
      <c r="AA21" s="188"/>
      <c r="AB21" s="189"/>
      <c r="AC21" s="60"/>
      <c r="AD21" s="178"/>
    </row>
    <row r="22" spans="1:30" ht="25.25" customHeight="1" x14ac:dyDescent="0.2">
      <c r="A22" s="158"/>
      <c r="B22" s="21"/>
      <c r="C22" s="215"/>
      <c r="D22" s="73"/>
      <c r="E22" s="19"/>
      <c r="F22" s="214"/>
      <c r="G22" s="214"/>
      <c r="H22" s="214"/>
      <c r="I22" s="74"/>
      <c r="J22" s="75"/>
      <c r="K22" s="193"/>
      <c r="L22" s="193"/>
      <c r="M22" s="193"/>
      <c r="N22" s="76"/>
      <c r="O22" s="77"/>
      <c r="P22" s="192"/>
      <c r="Q22" s="192"/>
      <c r="R22" s="192"/>
      <c r="S22" s="78"/>
      <c r="T22" s="79"/>
      <c r="U22" s="191"/>
      <c r="V22" s="191"/>
      <c r="W22" s="191"/>
      <c r="X22" s="85"/>
      <c r="Y22" s="86"/>
      <c r="Z22" s="59"/>
      <c r="AA22" s="80"/>
      <c r="AB22" s="81"/>
      <c r="AC22" s="60"/>
      <c r="AD22" s="87"/>
    </row>
    <row r="23" spans="1:30" ht="25.25" customHeight="1" x14ac:dyDescent="0.2">
      <c r="A23" s="158"/>
      <c r="B23" s="21"/>
      <c r="C23" s="215"/>
      <c r="D23" s="73"/>
      <c r="E23" s="19"/>
      <c r="F23" s="214"/>
      <c r="G23" s="214"/>
      <c r="H23" s="214"/>
      <c r="I23" s="74"/>
      <c r="J23" s="75"/>
      <c r="K23" s="193"/>
      <c r="L23" s="193"/>
      <c r="M23" s="193"/>
      <c r="N23" s="76"/>
      <c r="O23" s="77"/>
      <c r="P23" s="192"/>
      <c r="Q23" s="192"/>
      <c r="R23" s="192"/>
      <c r="S23" s="78"/>
      <c r="T23" s="79"/>
      <c r="U23" s="191"/>
      <c r="V23" s="191"/>
      <c r="W23" s="191"/>
      <c r="X23" s="85"/>
      <c r="Y23" s="86"/>
      <c r="Z23" s="59"/>
      <c r="AA23" s="80"/>
      <c r="AB23" s="81"/>
      <c r="AC23" s="60"/>
      <c r="AD23" s="87"/>
    </row>
    <row r="24" spans="1:30" ht="6" customHeight="1" x14ac:dyDescent="0.25">
      <c r="A24" s="158"/>
      <c r="B24" s="22"/>
      <c r="C24" s="23"/>
      <c r="D24" s="24"/>
      <c r="E24" s="25"/>
      <c r="F24" s="26"/>
      <c r="G24" s="26"/>
      <c r="H24" s="26"/>
      <c r="I24" s="27"/>
      <c r="J24" s="61"/>
      <c r="K24" s="62"/>
      <c r="L24" s="62"/>
      <c r="M24" s="62"/>
      <c r="N24" s="63"/>
      <c r="O24" s="64"/>
      <c r="P24" s="65"/>
      <c r="Q24" s="65"/>
      <c r="R24" s="65"/>
      <c r="S24" s="66"/>
      <c r="T24" s="67"/>
      <c r="U24" s="68"/>
      <c r="V24" s="68"/>
      <c r="W24" s="68"/>
      <c r="X24" s="69"/>
      <c r="Y24" s="70"/>
      <c r="Z24" s="82"/>
      <c r="AA24" s="154"/>
      <c r="AB24" s="155"/>
      <c r="AC24" s="70"/>
      <c r="AD24" s="71"/>
    </row>
    <row r="25" spans="1:30" ht="6" customHeight="1" x14ac:dyDescent="0.25">
      <c r="A25" s="158"/>
      <c r="B25" s="11"/>
      <c r="C25" s="12"/>
      <c r="D25" s="13"/>
      <c r="E25" s="14"/>
      <c r="F25" s="15"/>
      <c r="G25" s="15"/>
      <c r="H25" s="15"/>
      <c r="I25" s="16"/>
      <c r="J25" s="45"/>
      <c r="K25" s="46"/>
      <c r="L25" s="46"/>
      <c r="M25" s="46"/>
      <c r="N25" s="47"/>
      <c r="O25" s="48"/>
      <c r="P25" s="49"/>
      <c r="Q25" s="49"/>
      <c r="R25" s="49"/>
      <c r="S25" s="50"/>
      <c r="T25" s="51"/>
      <c r="U25" s="52"/>
      <c r="V25" s="52"/>
      <c r="W25" s="52"/>
      <c r="X25" s="53"/>
      <c r="Y25" s="54"/>
      <c r="Z25" s="83"/>
      <c r="AA25" s="186"/>
      <c r="AB25" s="187"/>
      <c r="AC25" s="54"/>
      <c r="AD25" s="57"/>
    </row>
    <row r="26" spans="1:30" ht="25.25" customHeight="1" x14ac:dyDescent="0.2">
      <c r="A26" s="158"/>
      <c r="B26" s="17">
        <f>VLOOKUP(C26,ControlPanel!$B$2:$D$11,3,FALSE)</f>
        <v>2</v>
      </c>
      <c r="C26" s="18" t="s">
        <v>3</v>
      </c>
      <c r="D26" s="179"/>
      <c r="E26" s="19"/>
      <c r="F26" s="214" t="s">
        <v>21</v>
      </c>
      <c r="G26" s="214"/>
      <c r="H26" s="214"/>
      <c r="I26" s="180"/>
      <c r="J26" s="181"/>
      <c r="K26" s="193" t="s">
        <v>64</v>
      </c>
      <c r="L26" s="193"/>
      <c r="M26" s="193"/>
      <c r="N26" s="182"/>
      <c r="O26" s="183"/>
      <c r="P26" s="192" t="s">
        <v>65</v>
      </c>
      <c r="Q26" s="192"/>
      <c r="R26" s="192"/>
      <c r="S26" s="184"/>
      <c r="T26" s="185"/>
      <c r="U26" s="191" t="s">
        <v>51</v>
      </c>
      <c r="V26" s="191"/>
      <c r="W26" s="191"/>
      <c r="X26" s="176"/>
      <c r="Y26" s="177"/>
      <c r="Z26" s="84">
        <v>0</v>
      </c>
      <c r="AA26" s="190">
        <v>0</v>
      </c>
      <c r="AB26" s="157"/>
      <c r="AC26" s="58">
        <f>Z26-AA26</f>
        <v>0</v>
      </c>
      <c r="AD26" s="178"/>
    </row>
    <row r="27" spans="1:30" ht="25.25" customHeight="1" x14ac:dyDescent="0.2">
      <c r="A27" s="158"/>
      <c r="B27" s="20"/>
      <c r="C27" s="215"/>
      <c r="D27" s="179"/>
      <c r="E27" s="19"/>
      <c r="F27" s="214"/>
      <c r="G27" s="214"/>
      <c r="H27" s="214"/>
      <c r="I27" s="180"/>
      <c r="J27" s="181"/>
      <c r="K27" s="193"/>
      <c r="L27" s="193"/>
      <c r="M27" s="193"/>
      <c r="N27" s="182"/>
      <c r="O27" s="183"/>
      <c r="P27" s="192"/>
      <c r="Q27" s="192"/>
      <c r="R27" s="192"/>
      <c r="S27" s="184"/>
      <c r="T27" s="185"/>
      <c r="U27" s="191"/>
      <c r="V27" s="191"/>
      <c r="W27" s="191"/>
      <c r="X27" s="176"/>
      <c r="Y27" s="177"/>
      <c r="Z27" s="59"/>
      <c r="AA27" s="188"/>
      <c r="AB27" s="189"/>
      <c r="AC27" s="60"/>
      <c r="AD27" s="178"/>
    </row>
    <row r="28" spans="1:30" ht="25.25" customHeight="1" x14ac:dyDescent="0.2">
      <c r="A28" s="158"/>
      <c r="B28" s="20"/>
      <c r="C28" s="215"/>
      <c r="D28" s="179"/>
      <c r="E28" s="19"/>
      <c r="F28" s="214"/>
      <c r="G28" s="214"/>
      <c r="H28" s="214"/>
      <c r="I28" s="180"/>
      <c r="J28" s="181"/>
      <c r="K28" s="193"/>
      <c r="L28" s="193"/>
      <c r="M28" s="193"/>
      <c r="N28" s="182"/>
      <c r="O28" s="183"/>
      <c r="P28" s="192"/>
      <c r="Q28" s="192"/>
      <c r="R28" s="192"/>
      <c r="S28" s="184"/>
      <c r="T28" s="185"/>
      <c r="U28" s="191"/>
      <c r="V28" s="191"/>
      <c r="W28" s="191"/>
      <c r="X28" s="176"/>
      <c r="Y28" s="177"/>
      <c r="Z28" s="59"/>
      <c r="AA28" s="188"/>
      <c r="AB28" s="189"/>
      <c r="AC28" s="60"/>
      <c r="AD28" s="178"/>
    </row>
    <row r="29" spans="1:30" ht="25.25" customHeight="1" x14ac:dyDescent="0.2">
      <c r="A29" s="158"/>
      <c r="B29" s="20"/>
      <c r="C29" s="215"/>
      <c r="D29" s="179"/>
      <c r="E29" s="19"/>
      <c r="F29" s="214"/>
      <c r="G29" s="214"/>
      <c r="H29" s="214"/>
      <c r="I29" s="180"/>
      <c r="J29" s="181"/>
      <c r="K29" s="193"/>
      <c r="L29" s="193"/>
      <c r="M29" s="193"/>
      <c r="N29" s="182"/>
      <c r="O29" s="183"/>
      <c r="P29" s="192"/>
      <c r="Q29" s="192"/>
      <c r="R29" s="192"/>
      <c r="S29" s="184"/>
      <c r="T29" s="185"/>
      <c r="U29" s="191"/>
      <c r="V29" s="191"/>
      <c r="W29" s="191"/>
      <c r="X29" s="176"/>
      <c r="Y29" s="177"/>
      <c r="Z29" s="59"/>
      <c r="AA29" s="188"/>
      <c r="AB29" s="189"/>
      <c r="AC29" s="60"/>
      <c r="AD29" s="178"/>
    </row>
    <row r="30" spans="1:30" ht="25.25" customHeight="1" x14ac:dyDescent="0.2">
      <c r="A30" s="158"/>
      <c r="B30" s="20"/>
      <c r="C30" s="215"/>
      <c r="D30" s="179"/>
      <c r="E30" s="19"/>
      <c r="F30" s="214"/>
      <c r="G30" s="214"/>
      <c r="H30" s="214"/>
      <c r="I30" s="180"/>
      <c r="J30" s="181"/>
      <c r="K30" s="193"/>
      <c r="L30" s="193"/>
      <c r="M30" s="193"/>
      <c r="N30" s="182"/>
      <c r="O30" s="183"/>
      <c r="P30" s="192"/>
      <c r="Q30" s="192"/>
      <c r="R30" s="192"/>
      <c r="S30" s="184"/>
      <c r="T30" s="185"/>
      <c r="U30" s="191"/>
      <c r="V30" s="191"/>
      <c r="W30" s="191"/>
      <c r="X30" s="176"/>
      <c r="Y30" s="177"/>
      <c r="Z30" s="59"/>
      <c r="AA30" s="188"/>
      <c r="AB30" s="189"/>
      <c r="AC30" s="60"/>
      <c r="AD30" s="178"/>
    </row>
    <row r="31" spans="1:30" ht="25.25" customHeight="1" x14ac:dyDescent="0.2">
      <c r="A31" s="158"/>
      <c r="B31" s="21"/>
      <c r="C31" s="215"/>
      <c r="D31" s="179"/>
      <c r="E31" s="19"/>
      <c r="F31" s="214"/>
      <c r="G31" s="214"/>
      <c r="H31" s="214"/>
      <c r="I31" s="180"/>
      <c r="J31" s="181"/>
      <c r="K31" s="193"/>
      <c r="L31" s="193"/>
      <c r="M31" s="193"/>
      <c r="N31" s="182"/>
      <c r="O31" s="183"/>
      <c r="P31" s="192"/>
      <c r="Q31" s="192"/>
      <c r="R31" s="192"/>
      <c r="S31" s="184"/>
      <c r="T31" s="185"/>
      <c r="U31" s="191"/>
      <c r="V31" s="191"/>
      <c r="W31" s="191"/>
      <c r="X31" s="176"/>
      <c r="Y31" s="177"/>
      <c r="Z31" s="59"/>
      <c r="AA31" s="188"/>
      <c r="AB31" s="189"/>
      <c r="AC31" s="60"/>
      <c r="AD31" s="178"/>
    </row>
    <row r="32" spans="1:30" ht="25.25" customHeight="1" x14ac:dyDescent="0.2">
      <c r="A32" s="158"/>
      <c r="B32" s="21"/>
      <c r="C32" s="215"/>
      <c r="D32" s="73"/>
      <c r="E32" s="19"/>
      <c r="F32" s="214"/>
      <c r="G32" s="214"/>
      <c r="H32" s="214"/>
      <c r="I32" s="74"/>
      <c r="J32" s="75"/>
      <c r="K32" s="193"/>
      <c r="L32" s="193"/>
      <c r="M32" s="193"/>
      <c r="N32" s="76"/>
      <c r="O32" s="77"/>
      <c r="P32" s="192"/>
      <c r="Q32" s="192"/>
      <c r="R32" s="192"/>
      <c r="S32" s="78"/>
      <c r="T32" s="79"/>
      <c r="U32" s="191"/>
      <c r="V32" s="191"/>
      <c r="W32" s="191"/>
      <c r="X32" s="85"/>
      <c r="Y32" s="86"/>
      <c r="Z32" s="59"/>
      <c r="AA32" s="80"/>
      <c r="AB32" s="81"/>
      <c r="AC32" s="60"/>
      <c r="AD32" s="87"/>
    </row>
    <row r="33" spans="1:30" ht="25.25" customHeight="1" x14ac:dyDescent="0.2">
      <c r="A33" s="158"/>
      <c r="B33" s="21"/>
      <c r="C33" s="215"/>
      <c r="D33" s="73"/>
      <c r="E33" s="19"/>
      <c r="F33" s="214"/>
      <c r="G33" s="214"/>
      <c r="H33" s="214"/>
      <c r="I33" s="74"/>
      <c r="J33" s="75"/>
      <c r="K33" s="193"/>
      <c r="L33" s="193"/>
      <c r="M33" s="193"/>
      <c r="N33" s="76"/>
      <c r="O33" s="77"/>
      <c r="P33" s="192"/>
      <c r="Q33" s="192"/>
      <c r="R33" s="192"/>
      <c r="S33" s="78"/>
      <c r="T33" s="79"/>
      <c r="U33" s="191"/>
      <c r="V33" s="191"/>
      <c r="W33" s="191"/>
      <c r="X33" s="85"/>
      <c r="Y33" s="86"/>
      <c r="Z33" s="59"/>
      <c r="AA33" s="80"/>
      <c r="AB33" s="81"/>
      <c r="AC33" s="60"/>
      <c r="AD33" s="87"/>
    </row>
    <row r="34" spans="1:30" ht="6" customHeight="1" x14ac:dyDescent="0.25">
      <c r="A34" s="158"/>
      <c r="B34" s="22"/>
      <c r="C34" s="23"/>
      <c r="D34" s="24"/>
      <c r="E34" s="25"/>
      <c r="F34" s="26"/>
      <c r="G34" s="26"/>
      <c r="H34" s="26"/>
      <c r="I34" s="27"/>
      <c r="J34" s="61"/>
      <c r="K34" s="62"/>
      <c r="L34" s="62"/>
      <c r="M34" s="62"/>
      <c r="N34" s="63"/>
      <c r="O34" s="64"/>
      <c r="P34" s="65"/>
      <c r="Q34" s="65"/>
      <c r="R34" s="65"/>
      <c r="S34" s="66"/>
      <c r="T34" s="67"/>
      <c r="U34" s="68"/>
      <c r="V34" s="68"/>
      <c r="W34" s="68"/>
      <c r="X34" s="69"/>
      <c r="Y34" s="70"/>
      <c r="Z34" s="82"/>
      <c r="AA34" s="154"/>
      <c r="AB34" s="155"/>
      <c r="AC34" s="70"/>
      <c r="AD34" s="71"/>
    </row>
    <row r="35" spans="1:30" ht="6" customHeight="1" x14ac:dyDescent="0.25">
      <c r="A35" s="158"/>
      <c r="B35" s="11"/>
      <c r="C35" s="12"/>
      <c r="D35" s="13"/>
      <c r="E35" s="14"/>
      <c r="F35" s="15"/>
      <c r="G35" s="15"/>
      <c r="H35" s="15"/>
      <c r="I35" s="16"/>
      <c r="J35" s="45"/>
      <c r="K35" s="46"/>
      <c r="L35" s="46"/>
      <c r="M35" s="46"/>
      <c r="N35" s="47"/>
      <c r="O35" s="48"/>
      <c r="P35" s="49"/>
      <c r="Q35" s="49"/>
      <c r="R35" s="49"/>
      <c r="S35" s="50"/>
      <c r="T35" s="51"/>
      <c r="U35" s="52"/>
      <c r="V35" s="52"/>
      <c r="W35" s="52"/>
      <c r="X35" s="53"/>
      <c r="Y35" s="54"/>
      <c r="Z35" s="83"/>
      <c r="AA35" s="186"/>
      <c r="AB35" s="187"/>
      <c r="AC35" s="54"/>
      <c r="AD35" s="57"/>
    </row>
    <row r="36" spans="1:30" ht="25.25" customHeight="1" x14ac:dyDescent="0.2">
      <c r="A36" s="158"/>
      <c r="B36" s="17">
        <f>VLOOKUP(C36,ControlPanel!$B$2:$D$11,3,FALSE)</f>
        <v>3</v>
      </c>
      <c r="C36" s="18" t="s">
        <v>18</v>
      </c>
      <c r="D36" s="179"/>
      <c r="E36" s="19"/>
      <c r="F36" s="214" t="s">
        <v>22</v>
      </c>
      <c r="G36" s="214"/>
      <c r="H36" s="214"/>
      <c r="I36" s="180"/>
      <c r="J36" s="181"/>
      <c r="K36" s="193" t="s">
        <v>23</v>
      </c>
      <c r="L36" s="193"/>
      <c r="M36" s="193"/>
      <c r="N36" s="182"/>
      <c r="O36" s="183"/>
      <c r="P36" s="192" t="s">
        <v>24</v>
      </c>
      <c r="Q36" s="192"/>
      <c r="R36" s="192"/>
      <c r="S36" s="184"/>
      <c r="T36" s="185"/>
      <c r="U36" s="191" t="s">
        <v>66</v>
      </c>
      <c r="V36" s="191"/>
      <c r="W36" s="191"/>
      <c r="X36" s="176"/>
      <c r="Y36" s="177"/>
      <c r="Z36" s="84">
        <v>0</v>
      </c>
      <c r="AA36" s="190">
        <v>0</v>
      </c>
      <c r="AB36" s="157"/>
      <c r="AC36" s="58">
        <f>Z36-AA36</f>
        <v>0</v>
      </c>
      <c r="AD36" s="178"/>
    </row>
    <row r="37" spans="1:30" ht="25.25" customHeight="1" x14ac:dyDescent="0.2">
      <c r="A37" s="158"/>
      <c r="B37" s="20"/>
      <c r="C37" s="215"/>
      <c r="D37" s="179"/>
      <c r="E37" s="19"/>
      <c r="F37" s="214"/>
      <c r="G37" s="214"/>
      <c r="H37" s="214"/>
      <c r="I37" s="180"/>
      <c r="J37" s="181"/>
      <c r="K37" s="193"/>
      <c r="L37" s="193"/>
      <c r="M37" s="193"/>
      <c r="N37" s="182"/>
      <c r="O37" s="183"/>
      <c r="P37" s="192"/>
      <c r="Q37" s="192"/>
      <c r="R37" s="192"/>
      <c r="S37" s="184"/>
      <c r="T37" s="185"/>
      <c r="U37" s="191"/>
      <c r="V37" s="191"/>
      <c r="W37" s="191"/>
      <c r="X37" s="176"/>
      <c r="Y37" s="177"/>
      <c r="Z37" s="59"/>
      <c r="AA37" s="188"/>
      <c r="AB37" s="189"/>
      <c r="AC37" s="60"/>
      <c r="AD37" s="178"/>
    </row>
    <row r="38" spans="1:30" ht="25.25" customHeight="1" x14ac:dyDescent="0.2">
      <c r="A38" s="158"/>
      <c r="B38" s="20"/>
      <c r="C38" s="215"/>
      <c r="D38" s="179"/>
      <c r="E38" s="19"/>
      <c r="F38" s="214"/>
      <c r="G38" s="214"/>
      <c r="H38" s="214"/>
      <c r="I38" s="180"/>
      <c r="J38" s="181"/>
      <c r="K38" s="193"/>
      <c r="L38" s="193"/>
      <c r="M38" s="193"/>
      <c r="N38" s="182"/>
      <c r="O38" s="183"/>
      <c r="P38" s="192"/>
      <c r="Q38" s="192"/>
      <c r="R38" s="192"/>
      <c r="S38" s="184"/>
      <c r="T38" s="185"/>
      <c r="U38" s="191"/>
      <c r="V38" s="191"/>
      <c r="W38" s="191"/>
      <c r="X38" s="176"/>
      <c r="Y38" s="177"/>
      <c r="Z38" s="59"/>
      <c r="AA38" s="188"/>
      <c r="AB38" s="189"/>
      <c r="AC38" s="60"/>
      <c r="AD38" s="178"/>
    </row>
    <row r="39" spans="1:30" ht="25.25" customHeight="1" x14ac:dyDescent="0.2">
      <c r="A39" s="158"/>
      <c r="B39" s="20"/>
      <c r="C39" s="215"/>
      <c r="D39" s="179"/>
      <c r="E39" s="19"/>
      <c r="F39" s="214"/>
      <c r="G39" s="214"/>
      <c r="H39" s="214"/>
      <c r="I39" s="180"/>
      <c r="J39" s="181"/>
      <c r="K39" s="193"/>
      <c r="L39" s="193"/>
      <c r="M39" s="193"/>
      <c r="N39" s="182"/>
      <c r="O39" s="183"/>
      <c r="P39" s="192"/>
      <c r="Q39" s="192"/>
      <c r="R39" s="192"/>
      <c r="S39" s="184"/>
      <c r="T39" s="185"/>
      <c r="U39" s="191"/>
      <c r="V39" s="191"/>
      <c r="W39" s="191"/>
      <c r="X39" s="176"/>
      <c r="Y39" s="177"/>
      <c r="Z39" s="59"/>
      <c r="AA39" s="188"/>
      <c r="AB39" s="189"/>
      <c r="AC39" s="60"/>
      <c r="AD39" s="178"/>
    </row>
    <row r="40" spans="1:30" ht="25.25" customHeight="1" x14ac:dyDescent="0.2">
      <c r="A40" s="158"/>
      <c r="B40" s="20"/>
      <c r="C40" s="215"/>
      <c r="D40" s="179"/>
      <c r="E40" s="19"/>
      <c r="F40" s="214"/>
      <c r="G40" s="214"/>
      <c r="H40" s="214"/>
      <c r="I40" s="180"/>
      <c r="J40" s="181"/>
      <c r="K40" s="193"/>
      <c r="L40" s="193"/>
      <c r="M40" s="193"/>
      <c r="N40" s="182"/>
      <c r="O40" s="183"/>
      <c r="P40" s="192"/>
      <c r="Q40" s="192"/>
      <c r="R40" s="192"/>
      <c r="S40" s="184"/>
      <c r="T40" s="185"/>
      <c r="U40" s="191"/>
      <c r="V40" s="191"/>
      <c r="W40" s="191"/>
      <c r="X40" s="176"/>
      <c r="Y40" s="177"/>
      <c r="Z40" s="59"/>
      <c r="AA40" s="188"/>
      <c r="AB40" s="189"/>
      <c r="AC40" s="60"/>
      <c r="AD40" s="178"/>
    </row>
    <row r="41" spans="1:30" ht="25.25" customHeight="1" x14ac:dyDescent="0.2">
      <c r="A41" s="158"/>
      <c r="B41" s="21"/>
      <c r="C41" s="215"/>
      <c r="D41" s="179"/>
      <c r="E41" s="19"/>
      <c r="F41" s="214"/>
      <c r="G41" s="214"/>
      <c r="H41" s="214"/>
      <c r="I41" s="180"/>
      <c r="J41" s="181"/>
      <c r="K41" s="193"/>
      <c r="L41" s="193"/>
      <c r="M41" s="193"/>
      <c r="N41" s="182"/>
      <c r="O41" s="183"/>
      <c r="P41" s="192"/>
      <c r="Q41" s="192"/>
      <c r="R41" s="192"/>
      <c r="S41" s="184"/>
      <c r="T41" s="185"/>
      <c r="U41" s="191"/>
      <c r="V41" s="191"/>
      <c r="W41" s="191"/>
      <c r="X41" s="176"/>
      <c r="Y41" s="177"/>
      <c r="Z41" s="59"/>
      <c r="AA41" s="188"/>
      <c r="AB41" s="189"/>
      <c r="AC41" s="60"/>
      <c r="AD41" s="178"/>
    </row>
    <row r="42" spans="1:30" ht="25.25" customHeight="1" x14ac:dyDescent="0.2">
      <c r="A42" s="158"/>
      <c r="B42" s="21"/>
      <c r="C42" s="215"/>
      <c r="D42" s="73"/>
      <c r="E42" s="19"/>
      <c r="F42" s="214"/>
      <c r="G42" s="214"/>
      <c r="H42" s="214"/>
      <c r="I42" s="74"/>
      <c r="J42" s="75"/>
      <c r="K42" s="193"/>
      <c r="L42" s="193"/>
      <c r="M42" s="193"/>
      <c r="N42" s="76"/>
      <c r="O42" s="77"/>
      <c r="P42" s="192"/>
      <c r="Q42" s="192"/>
      <c r="R42" s="192"/>
      <c r="S42" s="78"/>
      <c r="T42" s="79"/>
      <c r="U42" s="191"/>
      <c r="V42" s="191"/>
      <c r="W42" s="191"/>
      <c r="X42" s="85"/>
      <c r="Y42" s="86"/>
      <c r="Z42" s="59"/>
      <c r="AA42" s="80"/>
      <c r="AB42" s="81"/>
      <c r="AC42" s="60"/>
      <c r="AD42" s="87"/>
    </row>
    <row r="43" spans="1:30" ht="25.25" customHeight="1" x14ac:dyDescent="0.2">
      <c r="A43" s="158"/>
      <c r="B43" s="21"/>
      <c r="C43" s="215"/>
      <c r="D43" s="73"/>
      <c r="E43" s="19"/>
      <c r="F43" s="214"/>
      <c r="G43" s="214"/>
      <c r="H43" s="214"/>
      <c r="I43" s="74"/>
      <c r="J43" s="75"/>
      <c r="K43" s="193"/>
      <c r="L43" s="193"/>
      <c r="M43" s="193"/>
      <c r="N43" s="76"/>
      <c r="O43" s="77"/>
      <c r="P43" s="192"/>
      <c r="Q43" s="192"/>
      <c r="R43" s="192"/>
      <c r="S43" s="78"/>
      <c r="T43" s="79"/>
      <c r="U43" s="191"/>
      <c r="V43" s="191"/>
      <c r="W43" s="191"/>
      <c r="X43" s="85"/>
      <c r="Y43" s="86"/>
      <c r="Z43" s="59"/>
      <c r="AA43" s="80"/>
      <c r="AB43" s="81"/>
      <c r="AC43" s="60"/>
      <c r="AD43" s="87"/>
    </row>
    <row r="44" spans="1:30" ht="6" customHeight="1" x14ac:dyDescent="0.25">
      <c r="A44" s="159"/>
      <c r="B44" s="28"/>
      <c r="C44" s="29"/>
      <c r="D44" s="30"/>
      <c r="E44" s="25"/>
      <c r="F44" s="26"/>
      <c r="G44" s="26"/>
      <c r="H44" s="26"/>
      <c r="I44" s="27"/>
      <c r="J44" s="61"/>
      <c r="K44" s="62"/>
      <c r="L44" s="62"/>
      <c r="M44" s="62"/>
      <c r="N44" s="63"/>
      <c r="O44" s="64"/>
      <c r="P44" s="65"/>
      <c r="Q44" s="65"/>
      <c r="R44" s="65"/>
      <c r="S44" s="66"/>
      <c r="T44" s="67"/>
      <c r="U44" s="68"/>
      <c r="V44" s="68"/>
      <c r="W44" s="68"/>
      <c r="X44" s="69"/>
      <c r="Y44" s="70"/>
      <c r="Z44" s="82"/>
      <c r="AA44" s="154"/>
      <c r="AB44" s="155"/>
      <c r="AC44" s="70"/>
      <c r="AD44" s="71"/>
    </row>
    <row r="45" spans="1:30" ht="6" customHeight="1" x14ac:dyDescent="0.25">
      <c r="A45" s="158" t="s">
        <v>15</v>
      </c>
      <c r="B45" s="11"/>
      <c r="C45" s="12"/>
      <c r="D45" s="13"/>
      <c r="E45" s="14"/>
      <c r="F45" s="15"/>
      <c r="G45" s="15"/>
      <c r="H45" s="15"/>
      <c r="I45" s="16"/>
      <c r="J45" s="45"/>
      <c r="K45" s="46"/>
      <c r="L45" s="46"/>
      <c r="M45" s="46"/>
      <c r="N45" s="47"/>
      <c r="O45" s="48"/>
      <c r="P45" s="49"/>
      <c r="Q45" s="49"/>
      <c r="R45" s="49"/>
      <c r="S45" s="50"/>
      <c r="T45" s="51"/>
      <c r="U45" s="52"/>
      <c r="V45" s="52"/>
      <c r="W45" s="52"/>
      <c r="X45" s="53"/>
      <c r="Y45" s="54"/>
      <c r="Z45" s="83"/>
      <c r="AA45" s="186"/>
      <c r="AB45" s="187"/>
      <c r="AC45" s="54"/>
      <c r="AD45" s="57"/>
    </row>
    <row r="46" spans="1:30" ht="25.25" customHeight="1" x14ac:dyDescent="0.2">
      <c r="A46" s="158"/>
      <c r="B46" s="17">
        <f>VLOOKUP(C46,ControlPanel!$B$2:$D$11,3,FALSE)</f>
        <v>4</v>
      </c>
      <c r="C46" s="18" t="s">
        <v>4</v>
      </c>
      <c r="D46" s="179"/>
      <c r="E46" s="19"/>
      <c r="F46" s="214" t="s">
        <v>25</v>
      </c>
      <c r="G46" s="214"/>
      <c r="H46" s="214"/>
      <c r="I46" s="180"/>
      <c r="J46" s="181"/>
      <c r="K46" s="193" t="s">
        <v>26</v>
      </c>
      <c r="L46" s="193"/>
      <c r="M46" s="193"/>
      <c r="N46" s="182"/>
      <c r="O46" s="183"/>
      <c r="P46" s="192" t="s">
        <v>27</v>
      </c>
      <c r="Q46" s="192"/>
      <c r="R46" s="192"/>
      <c r="S46" s="184"/>
      <c r="T46" s="185"/>
      <c r="U46" s="191" t="s">
        <v>73</v>
      </c>
      <c r="V46" s="191"/>
      <c r="W46" s="191"/>
      <c r="X46" s="176"/>
      <c r="Y46" s="177"/>
      <c r="Z46" s="84">
        <v>0</v>
      </c>
      <c r="AA46" s="190">
        <v>0</v>
      </c>
      <c r="AB46" s="157"/>
      <c r="AC46" s="58">
        <f>Z46-AA46</f>
        <v>0</v>
      </c>
      <c r="AD46" s="178"/>
    </row>
    <row r="47" spans="1:30" ht="25.25" customHeight="1" x14ac:dyDescent="0.2">
      <c r="A47" s="158"/>
      <c r="B47" s="20"/>
      <c r="C47" s="215"/>
      <c r="D47" s="179"/>
      <c r="E47" s="19"/>
      <c r="F47" s="214"/>
      <c r="G47" s="214"/>
      <c r="H47" s="214"/>
      <c r="I47" s="180"/>
      <c r="J47" s="181"/>
      <c r="K47" s="193"/>
      <c r="L47" s="193"/>
      <c r="M47" s="193"/>
      <c r="N47" s="182"/>
      <c r="O47" s="183"/>
      <c r="P47" s="192"/>
      <c r="Q47" s="192"/>
      <c r="R47" s="192"/>
      <c r="S47" s="184"/>
      <c r="T47" s="185"/>
      <c r="U47" s="191"/>
      <c r="V47" s="191"/>
      <c r="W47" s="191"/>
      <c r="X47" s="176"/>
      <c r="Y47" s="177"/>
      <c r="Z47" s="59"/>
      <c r="AA47" s="188"/>
      <c r="AB47" s="189"/>
      <c r="AC47" s="60"/>
      <c r="AD47" s="178"/>
    </row>
    <row r="48" spans="1:30" ht="25.25" customHeight="1" x14ac:dyDescent="0.2">
      <c r="A48" s="158"/>
      <c r="B48" s="20"/>
      <c r="C48" s="215"/>
      <c r="D48" s="179"/>
      <c r="E48" s="19"/>
      <c r="F48" s="214"/>
      <c r="G48" s="214"/>
      <c r="H48" s="214"/>
      <c r="I48" s="180"/>
      <c r="J48" s="181"/>
      <c r="K48" s="193"/>
      <c r="L48" s="193"/>
      <c r="M48" s="193"/>
      <c r="N48" s="182"/>
      <c r="O48" s="183"/>
      <c r="P48" s="192"/>
      <c r="Q48" s="192"/>
      <c r="R48" s="192"/>
      <c r="S48" s="184"/>
      <c r="T48" s="185"/>
      <c r="U48" s="191"/>
      <c r="V48" s="191"/>
      <c r="W48" s="191"/>
      <c r="X48" s="176"/>
      <c r="Y48" s="177"/>
      <c r="Z48" s="59"/>
      <c r="AA48" s="188"/>
      <c r="AB48" s="189"/>
      <c r="AC48" s="60"/>
      <c r="AD48" s="178"/>
    </row>
    <row r="49" spans="1:30" ht="25.25" customHeight="1" x14ac:dyDescent="0.2">
      <c r="A49" s="158"/>
      <c r="B49" s="20"/>
      <c r="C49" s="215"/>
      <c r="D49" s="179"/>
      <c r="E49" s="19"/>
      <c r="F49" s="214"/>
      <c r="G49" s="214"/>
      <c r="H49" s="214"/>
      <c r="I49" s="180"/>
      <c r="J49" s="181"/>
      <c r="K49" s="193"/>
      <c r="L49" s="193"/>
      <c r="M49" s="193"/>
      <c r="N49" s="182"/>
      <c r="O49" s="183"/>
      <c r="P49" s="192"/>
      <c r="Q49" s="192"/>
      <c r="R49" s="192"/>
      <c r="S49" s="184"/>
      <c r="T49" s="185"/>
      <c r="U49" s="191"/>
      <c r="V49" s="191"/>
      <c r="W49" s="191"/>
      <c r="X49" s="176"/>
      <c r="Y49" s="177"/>
      <c r="Z49" s="59"/>
      <c r="AA49" s="188"/>
      <c r="AB49" s="189"/>
      <c r="AC49" s="60"/>
      <c r="AD49" s="178"/>
    </row>
    <row r="50" spans="1:30" ht="25.25" customHeight="1" x14ac:dyDescent="0.2">
      <c r="A50" s="158"/>
      <c r="B50" s="20"/>
      <c r="C50" s="215"/>
      <c r="D50" s="179"/>
      <c r="E50" s="19"/>
      <c r="F50" s="214"/>
      <c r="G50" s="214"/>
      <c r="H50" s="214"/>
      <c r="I50" s="180"/>
      <c r="J50" s="181"/>
      <c r="K50" s="193"/>
      <c r="L50" s="193"/>
      <c r="M50" s="193"/>
      <c r="N50" s="182"/>
      <c r="O50" s="183"/>
      <c r="P50" s="192"/>
      <c r="Q50" s="192"/>
      <c r="R50" s="192"/>
      <c r="S50" s="184"/>
      <c r="T50" s="185"/>
      <c r="U50" s="191"/>
      <c r="V50" s="191"/>
      <c r="W50" s="191"/>
      <c r="X50" s="176"/>
      <c r="Y50" s="177"/>
      <c r="Z50" s="59"/>
      <c r="AA50" s="188"/>
      <c r="AB50" s="189"/>
      <c r="AC50" s="60"/>
      <c r="AD50" s="178"/>
    </row>
    <row r="51" spans="1:30" ht="25.25" customHeight="1" x14ac:dyDescent="0.2">
      <c r="A51" s="158"/>
      <c r="B51" s="21"/>
      <c r="C51" s="215"/>
      <c r="D51" s="179"/>
      <c r="E51" s="19"/>
      <c r="F51" s="214"/>
      <c r="G51" s="214"/>
      <c r="H51" s="214"/>
      <c r="I51" s="180"/>
      <c r="J51" s="181"/>
      <c r="K51" s="193"/>
      <c r="L51" s="193"/>
      <c r="M51" s="193"/>
      <c r="N51" s="182"/>
      <c r="O51" s="183"/>
      <c r="P51" s="192"/>
      <c r="Q51" s="192"/>
      <c r="R51" s="192"/>
      <c r="S51" s="184"/>
      <c r="T51" s="185"/>
      <c r="U51" s="191"/>
      <c r="V51" s="191"/>
      <c r="W51" s="191"/>
      <c r="X51" s="176"/>
      <c r="Y51" s="177"/>
      <c r="Z51" s="59"/>
      <c r="AA51" s="188"/>
      <c r="AB51" s="189"/>
      <c r="AC51" s="60"/>
      <c r="AD51" s="178"/>
    </row>
    <row r="52" spans="1:30" ht="25.25" customHeight="1" x14ac:dyDescent="0.2">
      <c r="A52" s="158"/>
      <c r="B52" s="21"/>
      <c r="C52" s="215"/>
      <c r="D52" s="73"/>
      <c r="E52" s="19"/>
      <c r="F52" s="214"/>
      <c r="G52" s="214"/>
      <c r="H52" s="214"/>
      <c r="I52" s="74"/>
      <c r="J52" s="75"/>
      <c r="K52" s="193"/>
      <c r="L52" s="193"/>
      <c r="M52" s="193"/>
      <c r="N52" s="76"/>
      <c r="O52" s="77"/>
      <c r="P52" s="192"/>
      <c r="Q52" s="192"/>
      <c r="R52" s="192"/>
      <c r="S52" s="78"/>
      <c r="T52" s="79"/>
      <c r="U52" s="191"/>
      <c r="V52" s="191"/>
      <c r="W52" s="191"/>
      <c r="X52" s="85"/>
      <c r="Y52" s="86"/>
      <c r="Z52" s="59"/>
      <c r="AA52" s="80"/>
      <c r="AB52" s="81"/>
      <c r="AC52" s="60"/>
      <c r="AD52" s="87"/>
    </row>
    <row r="53" spans="1:30" ht="25.25" customHeight="1" x14ac:dyDescent="0.2">
      <c r="A53" s="158"/>
      <c r="B53" s="21"/>
      <c r="C53" s="215"/>
      <c r="D53" s="73"/>
      <c r="E53" s="19"/>
      <c r="F53" s="214"/>
      <c r="G53" s="214"/>
      <c r="H53" s="214"/>
      <c r="I53" s="74"/>
      <c r="J53" s="75"/>
      <c r="K53" s="193"/>
      <c r="L53" s="193"/>
      <c r="M53" s="193"/>
      <c r="N53" s="76"/>
      <c r="O53" s="77"/>
      <c r="P53" s="192"/>
      <c r="Q53" s="192"/>
      <c r="R53" s="192"/>
      <c r="S53" s="78"/>
      <c r="T53" s="79"/>
      <c r="U53" s="191"/>
      <c r="V53" s="191"/>
      <c r="W53" s="191"/>
      <c r="X53" s="85"/>
      <c r="Y53" s="86"/>
      <c r="Z53" s="59"/>
      <c r="AA53" s="80"/>
      <c r="AB53" s="81"/>
      <c r="AC53" s="60"/>
      <c r="AD53" s="87"/>
    </row>
    <row r="54" spans="1:30" ht="6" customHeight="1" x14ac:dyDescent="0.25">
      <c r="A54" s="159"/>
      <c r="B54" s="22"/>
      <c r="C54" s="23"/>
      <c r="D54" s="24"/>
      <c r="E54" s="25"/>
      <c r="F54" s="26"/>
      <c r="G54" s="26"/>
      <c r="H54" s="26"/>
      <c r="I54" s="27"/>
      <c r="J54" s="61"/>
      <c r="K54" s="62"/>
      <c r="L54" s="62"/>
      <c r="M54" s="62"/>
      <c r="N54" s="63"/>
      <c r="O54" s="64"/>
      <c r="P54" s="65"/>
      <c r="Q54" s="65"/>
      <c r="R54" s="65"/>
      <c r="S54" s="66"/>
      <c r="T54" s="67"/>
      <c r="U54" s="68"/>
      <c r="V54" s="68"/>
      <c r="W54" s="68"/>
      <c r="X54" s="69"/>
      <c r="Y54" s="70"/>
      <c r="Z54" s="82"/>
      <c r="AA54" s="154"/>
      <c r="AB54" s="155"/>
      <c r="AC54" s="70"/>
      <c r="AD54" s="71"/>
    </row>
    <row r="55" spans="1:30" ht="6" customHeight="1" x14ac:dyDescent="0.25">
      <c r="A55" s="194" t="s">
        <v>16</v>
      </c>
      <c r="B55" s="11"/>
      <c r="C55" s="12"/>
      <c r="D55" s="13"/>
      <c r="E55" s="14"/>
      <c r="F55" s="15"/>
      <c r="G55" s="15"/>
      <c r="H55" s="15"/>
      <c r="I55" s="16"/>
      <c r="J55" s="45"/>
      <c r="K55" s="46"/>
      <c r="L55" s="46"/>
      <c r="M55" s="46"/>
      <c r="N55" s="47"/>
      <c r="O55" s="48"/>
      <c r="P55" s="49"/>
      <c r="Q55" s="49"/>
      <c r="R55" s="49"/>
      <c r="S55" s="50"/>
      <c r="T55" s="51"/>
      <c r="U55" s="52"/>
      <c r="V55" s="52"/>
      <c r="W55" s="52"/>
      <c r="X55" s="53"/>
      <c r="Y55" s="54"/>
      <c r="Z55" s="83"/>
      <c r="AA55" s="186"/>
      <c r="AB55" s="187"/>
      <c r="AC55" s="54"/>
      <c r="AD55" s="57"/>
    </row>
    <row r="56" spans="1:30" ht="25.25" customHeight="1" x14ac:dyDescent="0.2">
      <c r="A56" s="158"/>
      <c r="B56" s="17">
        <f>VLOOKUP(C56,ControlPanel!$B$2:$D$11,3,FALSE)</f>
        <v>5</v>
      </c>
      <c r="C56" s="18" t="s">
        <v>5</v>
      </c>
      <c r="D56" s="179"/>
      <c r="E56" s="19"/>
      <c r="F56" s="214" t="s">
        <v>28</v>
      </c>
      <c r="G56" s="214"/>
      <c r="H56" s="214"/>
      <c r="I56" s="180"/>
      <c r="J56" s="181"/>
      <c r="K56" s="193" t="s">
        <v>29</v>
      </c>
      <c r="L56" s="193"/>
      <c r="M56" s="193"/>
      <c r="N56" s="182"/>
      <c r="O56" s="183"/>
      <c r="P56" s="192" t="s">
        <v>69</v>
      </c>
      <c r="Q56" s="192"/>
      <c r="R56" s="192"/>
      <c r="S56" s="184"/>
      <c r="T56" s="185"/>
      <c r="U56" s="191" t="s">
        <v>30</v>
      </c>
      <c r="V56" s="191"/>
      <c r="W56" s="191"/>
      <c r="X56" s="176"/>
      <c r="Y56" s="177"/>
      <c r="Z56" s="84">
        <v>0</v>
      </c>
      <c r="AA56" s="190">
        <v>0</v>
      </c>
      <c r="AB56" s="157"/>
      <c r="AC56" s="58">
        <f>Z56-AA56</f>
        <v>0</v>
      </c>
      <c r="AD56" s="178"/>
    </row>
    <row r="57" spans="1:30" ht="25.25" customHeight="1" x14ac:dyDescent="0.2">
      <c r="A57" s="158"/>
      <c r="B57" s="20"/>
      <c r="C57" s="215"/>
      <c r="D57" s="179"/>
      <c r="E57" s="19"/>
      <c r="F57" s="214"/>
      <c r="G57" s="214"/>
      <c r="H57" s="214"/>
      <c r="I57" s="180"/>
      <c r="J57" s="181"/>
      <c r="K57" s="193"/>
      <c r="L57" s="193"/>
      <c r="M57" s="193"/>
      <c r="N57" s="182"/>
      <c r="O57" s="183"/>
      <c r="P57" s="192"/>
      <c r="Q57" s="192"/>
      <c r="R57" s="192"/>
      <c r="S57" s="184"/>
      <c r="T57" s="185"/>
      <c r="U57" s="191"/>
      <c r="V57" s="191"/>
      <c r="W57" s="191"/>
      <c r="X57" s="176"/>
      <c r="Y57" s="177"/>
      <c r="Z57" s="59"/>
      <c r="AA57" s="188"/>
      <c r="AB57" s="189"/>
      <c r="AC57" s="60"/>
      <c r="AD57" s="178"/>
    </row>
    <row r="58" spans="1:30" ht="25.25" customHeight="1" x14ac:dyDescent="0.2">
      <c r="A58" s="158"/>
      <c r="B58" s="20"/>
      <c r="C58" s="215"/>
      <c r="D58" s="179"/>
      <c r="E58" s="19"/>
      <c r="F58" s="214"/>
      <c r="G58" s="214"/>
      <c r="H58" s="214"/>
      <c r="I58" s="180"/>
      <c r="J58" s="181"/>
      <c r="K58" s="193"/>
      <c r="L58" s="193"/>
      <c r="M58" s="193"/>
      <c r="N58" s="182"/>
      <c r="O58" s="183"/>
      <c r="P58" s="192"/>
      <c r="Q58" s="192"/>
      <c r="R58" s="192"/>
      <c r="S58" s="184"/>
      <c r="T58" s="185"/>
      <c r="U58" s="191"/>
      <c r="V58" s="191"/>
      <c r="W58" s="191"/>
      <c r="X58" s="176"/>
      <c r="Y58" s="177"/>
      <c r="Z58" s="59"/>
      <c r="AA58" s="188"/>
      <c r="AB58" s="189"/>
      <c r="AC58" s="60"/>
      <c r="AD58" s="178"/>
    </row>
    <row r="59" spans="1:30" ht="25.25" customHeight="1" x14ac:dyDescent="0.2">
      <c r="A59" s="158"/>
      <c r="B59" s="20"/>
      <c r="C59" s="215"/>
      <c r="D59" s="179"/>
      <c r="E59" s="19"/>
      <c r="F59" s="214"/>
      <c r="G59" s="214"/>
      <c r="H59" s="214"/>
      <c r="I59" s="180"/>
      <c r="J59" s="181"/>
      <c r="K59" s="193"/>
      <c r="L59" s="193"/>
      <c r="M59" s="193"/>
      <c r="N59" s="182"/>
      <c r="O59" s="183"/>
      <c r="P59" s="192"/>
      <c r="Q59" s="192"/>
      <c r="R59" s="192"/>
      <c r="S59" s="184"/>
      <c r="T59" s="185"/>
      <c r="U59" s="191"/>
      <c r="V59" s="191"/>
      <c r="W59" s="191"/>
      <c r="X59" s="176"/>
      <c r="Y59" s="177"/>
      <c r="Z59" s="59"/>
      <c r="AA59" s="188"/>
      <c r="AB59" s="189"/>
      <c r="AC59" s="60"/>
      <c r="AD59" s="178"/>
    </row>
    <row r="60" spans="1:30" ht="25.25" customHeight="1" x14ac:dyDescent="0.2">
      <c r="A60" s="158"/>
      <c r="B60" s="20"/>
      <c r="C60" s="215"/>
      <c r="D60" s="179"/>
      <c r="E60" s="19"/>
      <c r="F60" s="214"/>
      <c r="G60" s="214"/>
      <c r="H60" s="214"/>
      <c r="I60" s="180"/>
      <c r="J60" s="181"/>
      <c r="K60" s="193"/>
      <c r="L60" s="193"/>
      <c r="M60" s="193"/>
      <c r="N60" s="182"/>
      <c r="O60" s="183"/>
      <c r="P60" s="192"/>
      <c r="Q60" s="192"/>
      <c r="R60" s="192"/>
      <c r="S60" s="184"/>
      <c r="T60" s="185"/>
      <c r="U60" s="191"/>
      <c r="V60" s="191"/>
      <c r="W60" s="191"/>
      <c r="X60" s="176"/>
      <c r="Y60" s="177"/>
      <c r="Z60" s="59"/>
      <c r="AA60" s="188"/>
      <c r="AB60" s="189"/>
      <c r="AC60" s="60"/>
      <c r="AD60" s="178"/>
    </row>
    <row r="61" spans="1:30" ht="25.25" customHeight="1" x14ac:dyDescent="0.2">
      <c r="A61" s="158"/>
      <c r="B61" s="21"/>
      <c r="C61" s="215"/>
      <c r="D61" s="179"/>
      <c r="E61" s="19"/>
      <c r="F61" s="214"/>
      <c r="G61" s="214"/>
      <c r="H61" s="214"/>
      <c r="I61" s="180"/>
      <c r="J61" s="181"/>
      <c r="K61" s="193"/>
      <c r="L61" s="193"/>
      <c r="M61" s="193"/>
      <c r="N61" s="182"/>
      <c r="O61" s="183"/>
      <c r="P61" s="192"/>
      <c r="Q61" s="192"/>
      <c r="R61" s="192"/>
      <c r="S61" s="184"/>
      <c r="T61" s="185"/>
      <c r="U61" s="191"/>
      <c r="V61" s="191"/>
      <c r="W61" s="191"/>
      <c r="X61" s="176"/>
      <c r="Y61" s="177"/>
      <c r="Z61" s="59"/>
      <c r="AA61" s="188"/>
      <c r="AB61" s="189"/>
      <c r="AC61" s="60"/>
      <c r="AD61" s="178"/>
    </row>
    <row r="62" spans="1:30" ht="25.25" customHeight="1" x14ac:dyDescent="0.2">
      <c r="A62" s="158"/>
      <c r="B62" s="21"/>
      <c r="C62" s="215"/>
      <c r="D62" s="73"/>
      <c r="E62" s="19"/>
      <c r="F62" s="214"/>
      <c r="G62" s="214"/>
      <c r="H62" s="214"/>
      <c r="I62" s="74"/>
      <c r="J62" s="75"/>
      <c r="K62" s="193"/>
      <c r="L62" s="193"/>
      <c r="M62" s="193"/>
      <c r="N62" s="76"/>
      <c r="O62" s="77"/>
      <c r="P62" s="192"/>
      <c r="Q62" s="192"/>
      <c r="R62" s="192"/>
      <c r="S62" s="78"/>
      <c r="T62" s="79"/>
      <c r="U62" s="191"/>
      <c r="V62" s="191"/>
      <c r="W62" s="191"/>
      <c r="X62" s="85"/>
      <c r="Y62" s="86"/>
      <c r="Z62" s="59"/>
      <c r="AA62" s="80"/>
      <c r="AB62" s="81"/>
      <c r="AC62" s="60"/>
      <c r="AD62" s="87"/>
    </row>
    <row r="63" spans="1:30" ht="25.25" customHeight="1" x14ac:dyDescent="0.2">
      <c r="A63" s="158"/>
      <c r="B63" s="21"/>
      <c r="C63" s="215"/>
      <c r="D63" s="73"/>
      <c r="E63" s="19"/>
      <c r="F63" s="214"/>
      <c r="G63" s="214"/>
      <c r="H63" s="214"/>
      <c r="I63" s="74"/>
      <c r="J63" s="75"/>
      <c r="K63" s="193"/>
      <c r="L63" s="193"/>
      <c r="M63" s="193"/>
      <c r="N63" s="76"/>
      <c r="O63" s="77"/>
      <c r="P63" s="192"/>
      <c r="Q63" s="192"/>
      <c r="R63" s="192"/>
      <c r="S63" s="78"/>
      <c r="T63" s="79"/>
      <c r="U63" s="191"/>
      <c r="V63" s="191"/>
      <c r="W63" s="191"/>
      <c r="X63" s="85"/>
      <c r="Y63" s="86"/>
      <c r="Z63" s="59"/>
      <c r="AA63" s="80"/>
      <c r="AB63" s="81"/>
      <c r="AC63" s="60"/>
      <c r="AD63" s="87"/>
    </row>
    <row r="64" spans="1:30" ht="6" customHeight="1" x14ac:dyDescent="0.25">
      <c r="A64" s="158"/>
      <c r="B64" s="22"/>
      <c r="C64" s="23"/>
      <c r="D64" s="24"/>
      <c r="E64" s="25"/>
      <c r="F64" s="26"/>
      <c r="G64" s="26"/>
      <c r="H64" s="26"/>
      <c r="I64" s="27"/>
      <c r="J64" s="61"/>
      <c r="K64" s="62"/>
      <c r="L64" s="62"/>
      <c r="M64" s="62"/>
      <c r="N64" s="63"/>
      <c r="O64" s="64"/>
      <c r="P64" s="65"/>
      <c r="Q64" s="65"/>
      <c r="R64" s="65"/>
      <c r="S64" s="66"/>
      <c r="T64" s="67"/>
      <c r="U64" s="68"/>
      <c r="V64" s="68"/>
      <c r="W64" s="68"/>
      <c r="X64" s="69"/>
      <c r="Y64" s="70"/>
      <c r="Z64" s="82"/>
      <c r="AA64" s="154"/>
      <c r="AB64" s="155"/>
      <c r="AC64" s="70"/>
      <c r="AD64" s="71"/>
    </row>
    <row r="65" spans="1:30" ht="6" customHeight="1" x14ac:dyDescent="0.25">
      <c r="A65" s="158"/>
      <c r="B65" s="11"/>
      <c r="C65" s="12"/>
      <c r="D65" s="13"/>
      <c r="E65" s="14"/>
      <c r="F65" s="15"/>
      <c r="G65" s="15"/>
      <c r="H65" s="15"/>
      <c r="I65" s="16"/>
      <c r="J65" s="45"/>
      <c r="K65" s="46"/>
      <c r="L65" s="46"/>
      <c r="M65" s="46"/>
      <c r="N65" s="47"/>
      <c r="O65" s="48"/>
      <c r="P65" s="49"/>
      <c r="Q65" s="49"/>
      <c r="R65" s="49"/>
      <c r="S65" s="50"/>
      <c r="T65" s="51"/>
      <c r="U65" s="52"/>
      <c r="V65" s="52"/>
      <c r="W65" s="52"/>
      <c r="X65" s="53"/>
      <c r="Y65" s="54"/>
      <c r="Z65" s="83"/>
      <c r="AA65" s="186"/>
      <c r="AB65" s="187"/>
      <c r="AC65" s="54"/>
      <c r="AD65" s="57"/>
    </row>
    <row r="66" spans="1:30" ht="25.25" customHeight="1" x14ac:dyDescent="0.2">
      <c r="A66" s="158"/>
      <c r="B66" s="17">
        <f>VLOOKUP(C66,ControlPanel!$B$2:$D$11,3,FALSE)</f>
        <v>6</v>
      </c>
      <c r="C66" s="18" t="s">
        <v>6</v>
      </c>
      <c r="D66" s="179"/>
      <c r="E66" s="19"/>
      <c r="F66" s="214" t="s">
        <v>31</v>
      </c>
      <c r="G66" s="214"/>
      <c r="H66" s="214"/>
      <c r="I66" s="180"/>
      <c r="J66" s="181"/>
      <c r="K66" s="193" t="s">
        <v>68</v>
      </c>
      <c r="L66" s="193"/>
      <c r="M66" s="193"/>
      <c r="N66" s="182"/>
      <c r="O66" s="183"/>
      <c r="P66" s="192" t="s">
        <v>32</v>
      </c>
      <c r="Q66" s="192"/>
      <c r="R66" s="192"/>
      <c r="S66" s="184"/>
      <c r="T66" s="185"/>
      <c r="U66" s="191" t="s">
        <v>33</v>
      </c>
      <c r="V66" s="191"/>
      <c r="W66" s="191"/>
      <c r="X66" s="176"/>
      <c r="Y66" s="177"/>
      <c r="Z66" s="84">
        <v>0</v>
      </c>
      <c r="AA66" s="190">
        <v>0</v>
      </c>
      <c r="AB66" s="157"/>
      <c r="AC66" s="58">
        <f>Z66-AA66</f>
        <v>0</v>
      </c>
      <c r="AD66" s="178"/>
    </row>
    <row r="67" spans="1:30" ht="25.25" customHeight="1" x14ac:dyDescent="0.2">
      <c r="A67" s="158"/>
      <c r="B67" s="20"/>
      <c r="C67" s="215"/>
      <c r="D67" s="179"/>
      <c r="E67" s="19"/>
      <c r="F67" s="214"/>
      <c r="G67" s="214"/>
      <c r="H67" s="214"/>
      <c r="I67" s="180"/>
      <c r="J67" s="181"/>
      <c r="K67" s="193"/>
      <c r="L67" s="193"/>
      <c r="M67" s="193"/>
      <c r="N67" s="182"/>
      <c r="O67" s="183"/>
      <c r="P67" s="192"/>
      <c r="Q67" s="192"/>
      <c r="R67" s="192"/>
      <c r="S67" s="184"/>
      <c r="T67" s="185"/>
      <c r="U67" s="191"/>
      <c r="V67" s="191"/>
      <c r="W67" s="191"/>
      <c r="X67" s="176"/>
      <c r="Y67" s="177"/>
      <c r="Z67" s="59"/>
      <c r="AA67" s="188"/>
      <c r="AB67" s="189"/>
      <c r="AC67" s="60"/>
      <c r="AD67" s="178"/>
    </row>
    <row r="68" spans="1:30" ht="25.25" customHeight="1" x14ac:dyDescent="0.2">
      <c r="A68" s="158"/>
      <c r="B68" s="20"/>
      <c r="C68" s="215"/>
      <c r="D68" s="179"/>
      <c r="E68" s="19"/>
      <c r="F68" s="214"/>
      <c r="G68" s="214"/>
      <c r="H68" s="214"/>
      <c r="I68" s="180"/>
      <c r="J68" s="181"/>
      <c r="K68" s="193"/>
      <c r="L68" s="193"/>
      <c r="M68" s="193"/>
      <c r="N68" s="182"/>
      <c r="O68" s="183"/>
      <c r="P68" s="192"/>
      <c r="Q68" s="192"/>
      <c r="R68" s="192"/>
      <c r="S68" s="184"/>
      <c r="T68" s="185"/>
      <c r="U68" s="191"/>
      <c r="V68" s="191"/>
      <c r="W68" s="191"/>
      <c r="X68" s="176"/>
      <c r="Y68" s="177"/>
      <c r="Z68" s="59"/>
      <c r="AA68" s="188"/>
      <c r="AB68" s="189"/>
      <c r="AC68" s="60"/>
      <c r="AD68" s="178"/>
    </row>
    <row r="69" spans="1:30" ht="25.25" customHeight="1" x14ac:dyDescent="0.2">
      <c r="A69" s="158"/>
      <c r="B69" s="20"/>
      <c r="C69" s="215"/>
      <c r="D69" s="179"/>
      <c r="E69" s="19"/>
      <c r="F69" s="214"/>
      <c r="G69" s="214"/>
      <c r="H69" s="214"/>
      <c r="I69" s="180"/>
      <c r="J69" s="181"/>
      <c r="K69" s="193"/>
      <c r="L69" s="193"/>
      <c r="M69" s="193"/>
      <c r="N69" s="182"/>
      <c r="O69" s="183"/>
      <c r="P69" s="192"/>
      <c r="Q69" s="192"/>
      <c r="R69" s="192"/>
      <c r="S69" s="184"/>
      <c r="T69" s="185"/>
      <c r="U69" s="191"/>
      <c r="V69" s="191"/>
      <c r="W69" s="191"/>
      <c r="X69" s="176"/>
      <c r="Y69" s="177"/>
      <c r="Z69" s="59"/>
      <c r="AA69" s="188"/>
      <c r="AB69" s="189"/>
      <c r="AC69" s="60"/>
      <c r="AD69" s="178"/>
    </row>
    <row r="70" spans="1:30" ht="25.25" customHeight="1" x14ac:dyDescent="0.2">
      <c r="A70" s="158"/>
      <c r="B70" s="20"/>
      <c r="C70" s="215"/>
      <c r="D70" s="179"/>
      <c r="E70" s="19"/>
      <c r="F70" s="214"/>
      <c r="G70" s="214"/>
      <c r="H70" s="214"/>
      <c r="I70" s="180"/>
      <c r="J70" s="181"/>
      <c r="K70" s="193"/>
      <c r="L70" s="193"/>
      <c r="M70" s="193"/>
      <c r="N70" s="182"/>
      <c r="O70" s="183"/>
      <c r="P70" s="192"/>
      <c r="Q70" s="192"/>
      <c r="R70" s="192"/>
      <c r="S70" s="184"/>
      <c r="T70" s="185"/>
      <c r="U70" s="191"/>
      <c r="V70" s="191"/>
      <c r="W70" s="191"/>
      <c r="X70" s="176"/>
      <c r="Y70" s="177"/>
      <c r="Z70" s="59"/>
      <c r="AA70" s="188"/>
      <c r="AB70" s="189"/>
      <c r="AC70" s="60"/>
      <c r="AD70" s="178"/>
    </row>
    <row r="71" spans="1:30" ht="25.25" customHeight="1" x14ac:dyDescent="0.2">
      <c r="A71" s="158"/>
      <c r="B71" s="21"/>
      <c r="C71" s="215"/>
      <c r="D71" s="179"/>
      <c r="E71" s="19"/>
      <c r="F71" s="214"/>
      <c r="G71" s="214"/>
      <c r="H71" s="214"/>
      <c r="I71" s="180"/>
      <c r="J71" s="181"/>
      <c r="K71" s="193"/>
      <c r="L71" s="193"/>
      <c r="M71" s="193"/>
      <c r="N71" s="182"/>
      <c r="O71" s="183"/>
      <c r="P71" s="192"/>
      <c r="Q71" s="192"/>
      <c r="R71" s="192"/>
      <c r="S71" s="184"/>
      <c r="T71" s="185"/>
      <c r="U71" s="191"/>
      <c r="V71" s="191"/>
      <c r="W71" s="191"/>
      <c r="X71" s="176"/>
      <c r="Y71" s="177"/>
      <c r="Z71" s="59"/>
      <c r="AA71" s="188"/>
      <c r="AB71" s="189"/>
      <c r="AC71" s="60"/>
      <c r="AD71" s="178"/>
    </row>
    <row r="72" spans="1:30" ht="25.25" customHeight="1" x14ac:dyDescent="0.2">
      <c r="A72" s="158"/>
      <c r="B72" s="21"/>
      <c r="C72" s="215"/>
      <c r="D72" s="73"/>
      <c r="E72" s="19"/>
      <c r="F72" s="214"/>
      <c r="G72" s="214"/>
      <c r="H72" s="214"/>
      <c r="I72" s="74"/>
      <c r="J72" s="75"/>
      <c r="K72" s="193"/>
      <c r="L72" s="193"/>
      <c r="M72" s="193"/>
      <c r="N72" s="76"/>
      <c r="O72" s="77"/>
      <c r="P72" s="192"/>
      <c r="Q72" s="192"/>
      <c r="R72" s="192"/>
      <c r="S72" s="78"/>
      <c r="T72" s="79"/>
      <c r="U72" s="191"/>
      <c r="V72" s="191"/>
      <c r="W72" s="191"/>
      <c r="X72" s="85"/>
      <c r="Y72" s="86"/>
      <c r="Z72" s="59"/>
      <c r="AA72" s="80"/>
      <c r="AB72" s="81"/>
      <c r="AC72" s="60"/>
      <c r="AD72" s="87"/>
    </row>
    <row r="73" spans="1:30" ht="25.25" customHeight="1" x14ac:dyDescent="0.2">
      <c r="A73" s="158"/>
      <c r="B73" s="21"/>
      <c r="C73" s="215"/>
      <c r="D73" s="73"/>
      <c r="E73" s="19"/>
      <c r="F73" s="214"/>
      <c r="G73" s="214"/>
      <c r="H73" s="214"/>
      <c r="I73" s="74"/>
      <c r="J73" s="75"/>
      <c r="K73" s="193"/>
      <c r="L73" s="193"/>
      <c r="M73" s="193"/>
      <c r="N73" s="76"/>
      <c r="O73" s="77"/>
      <c r="P73" s="192"/>
      <c r="Q73" s="192"/>
      <c r="R73" s="192"/>
      <c r="S73" s="78"/>
      <c r="T73" s="79"/>
      <c r="U73" s="191"/>
      <c r="V73" s="191"/>
      <c r="W73" s="191"/>
      <c r="X73" s="85"/>
      <c r="Y73" s="86"/>
      <c r="Z73" s="59"/>
      <c r="AA73" s="80"/>
      <c r="AB73" s="81"/>
      <c r="AC73" s="60"/>
      <c r="AD73" s="87"/>
    </row>
    <row r="74" spans="1:30" ht="6" customHeight="1" x14ac:dyDescent="0.25">
      <c r="A74" s="158"/>
      <c r="B74" s="22"/>
      <c r="C74" s="23"/>
      <c r="D74" s="24"/>
      <c r="E74" s="25"/>
      <c r="F74" s="26"/>
      <c r="G74" s="26"/>
      <c r="H74" s="26"/>
      <c r="I74" s="27"/>
      <c r="J74" s="61"/>
      <c r="K74" s="62"/>
      <c r="L74" s="62"/>
      <c r="M74" s="62"/>
      <c r="N74" s="63"/>
      <c r="O74" s="64"/>
      <c r="P74" s="65"/>
      <c r="Q74" s="65"/>
      <c r="R74" s="65"/>
      <c r="S74" s="66"/>
      <c r="T74" s="67"/>
      <c r="U74" s="68"/>
      <c r="V74" s="68"/>
      <c r="W74" s="68"/>
      <c r="X74" s="69"/>
      <c r="Y74" s="70"/>
      <c r="Z74" s="82"/>
      <c r="AA74" s="154"/>
      <c r="AB74" s="155"/>
      <c r="AC74" s="70"/>
      <c r="AD74" s="71"/>
    </row>
    <row r="75" spans="1:30" ht="6" customHeight="1" x14ac:dyDescent="0.25">
      <c r="A75" s="158"/>
      <c r="B75" s="11"/>
      <c r="C75" s="12"/>
      <c r="D75" s="13"/>
      <c r="E75" s="14"/>
      <c r="F75" s="15"/>
      <c r="G75" s="15"/>
      <c r="H75" s="15"/>
      <c r="I75" s="16"/>
      <c r="J75" s="45"/>
      <c r="K75" s="46"/>
      <c r="L75" s="46"/>
      <c r="M75" s="46"/>
      <c r="N75" s="47"/>
      <c r="O75" s="48"/>
      <c r="P75" s="49"/>
      <c r="Q75" s="49"/>
      <c r="R75" s="49"/>
      <c r="S75" s="50"/>
      <c r="T75" s="51"/>
      <c r="U75" s="52"/>
      <c r="V75" s="52"/>
      <c r="W75" s="52"/>
      <c r="X75" s="53"/>
      <c r="Y75" s="54"/>
      <c r="Z75" s="83"/>
      <c r="AA75" s="186"/>
      <c r="AB75" s="187"/>
      <c r="AC75" s="54"/>
      <c r="AD75" s="57"/>
    </row>
    <row r="76" spans="1:30" ht="25.25" customHeight="1" x14ac:dyDescent="0.2">
      <c r="A76" s="158"/>
      <c r="B76" s="17">
        <f>VLOOKUP(C76,ControlPanel!$B$2:$D$11,3,FALSE)</f>
        <v>7</v>
      </c>
      <c r="C76" s="18" t="s">
        <v>7</v>
      </c>
      <c r="D76" s="179"/>
      <c r="E76" s="19"/>
      <c r="F76" s="214" t="s">
        <v>34</v>
      </c>
      <c r="G76" s="214"/>
      <c r="H76" s="214"/>
      <c r="I76" s="180"/>
      <c r="J76" s="181"/>
      <c r="K76" s="193" t="s">
        <v>35</v>
      </c>
      <c r="L76" s="193"/>
      <c r="M76" s="193"/>
      <c r="N76" s="182"/>
      <c r="O76" s="183"/>
      <c r="P76" s="192" t="s">
        <v>36</v>
      </c>
      <c r="Q76" s="192"/>
      <c r="R76" s="192"/>
      <c r="S76" s="184"/>
      <c r="T76" s="185"/>
      <c r="U76" s="191" t="s">
        <v>37</v>
      </c>
      <c r="V76" s="191"/>
      <c r="W76" s="191"/>
      <c r="X76" s="176"/>
      <c r="Y76" s="177"/>
      <c r="Z76" s="84">
        <v>0</v>
      </c>
      <c r="AA76" s="190">
        <v>0</v>
      </c>
      <c r="AB76" s="157"/>
      <c r="AC76" s="58">
        <f>Z76-AA76</f>
        <v>0</v>
      </c>
      <c r="AD76" s="178"/>
    </row>
    <row r="77" spans="1:30" ht="25.25" customHeight="1" x14ac:dyDescent="0.2">
      <c r="A77" s="158"/>
      <c r="B77" s="20"/>
      <c r="C77" s="215"/>
      <c r="D77" s="179"/>
      <c r="E77" s="19"/>
      <c r="F77" s="214"/>
      <c r="G77" s="214"/>
      <c r="H77" s="214"/>
      <c r="I77" s="180"/>
      <c r="J77" s="181"/>
      <c r="K77" s="193"/>
      <c r="L77" s="193"/>
      <c r="M77" s="193"/>
      <c r="N77" s="182"/>
      <c r="O77" s="183"/>
      <c r="P77" s="192"/>
      <c r="Q77" s="192"/>
      <c r="R77" s="192"/>
      <c r="S77" s="184"/>
      <c r="T77" s="185"/>
      <c r="U77" s="191"/>
      <c r="V77" s="191"/>
      <c r="W77" s="191"/>
      <c r="X77" s="176"/>
      <c r="Y77" s="177"/>
      <c r="Z77" s="59"/>
      <c r="AA77" s="188"/>
      <c r="AB77" s="189"/>
      <c r="AC77" s="60"/>
      <c r="AD77" s="178"/>
    </row>
    <row r="78" spans="1:30" ht="25.25" customHeight="1" x14ac:dyDescent="0.2">
      <c r="A78" s="158"/>
      <c r="B78" s="20"/>
      <c r="C78" s="215"/>
      <c r="D78" s="179"/>
      <c r="E78" s="19"/>
      <c r="F78" s="214"/>
      <c r="G78" s="214"/>
      <c r="H78" s="214"/>
      <c r="I78" s="180"/>
      <c r="J78" s="181"/>
      <c r="K78" s="193"/>
      <c r="L78" s="193"/>
      <c r="M78" s="193"/>
      <c r="N78" s="182"/>
      <c r="O78" s="183"/>
      <c r="P78" s="192"/>
      <c r="Q78" s="192"/>
      <c r="R78" s="192"/>
      <c r="S78" s="184"/>
      <c r="T78" s="185"/>
      <c r="U78" s="191"/>
      <c r="V78" s="191"/>
      <c r="W78" s="191"/>
      <c r="X78" s="176"/>
      <c r="Y78" s="177"/>
      <c r="Z78" s="59"/>
      <c r="AA78" s="188"/>
      <c r="AB78" s="189"/>
      <c r="AC78" s="60"/>
      <c r="AD78" s="178"/>
    </row>
    <row r="79" spans="1:30" ht="25.25" customHeight="1" x14ac:dyDescent="0.2">
      <c r="A79" s="158"/>
      <c r="B79" s="20"/>
      <c r="C79" s="215"/>
      <c r="D79" s="179"/>
      <c r="E79" s="19"/>
      <c r="F79" s="214"/>
      <c r="G79" s="214"/>
      <c r="H79" s="214"/>
      <c r="I79" s="180"/>
      <c r="J79" s="181"/>
      <c r="K79" s="193"/>
      <c r="L79" s="193"/>
      <c r="M79" s="193"/>
      <c r="N79" s="182"/>
      <c r="O79" s="183"/>
      <c r="P79" s="192"/>
      <c r="Q79" s="192"/>
      <c r="R79" s="192"/>
      <c r="S79" s="184"/>
      <c r="T79" s="185"/>
      <c r="U79" s="191"/>
      <c r="V79" s="191"/>
      <c r="W79" s="191"/>
      <c r="X79" s="176"/>
      <c r="Y79" s="177"/>
      <c r="Z79" s="59"/>
      <c r="AA79" s="188"/>
      <c r="AB79" s="189"/>
      <c r="AC79" s="60"/>
      <c r="AD79" s="178"/>
    </row>
    <row r="80" spans="1:30" ht="25.25" customHeight="1" x14ac:dyDescent="0.2">
      <c r="A80" s="158"/>
      <c r="B80" s="20"/>
      <c r="C80" s="215"/>
      <c r="D80" s="179"/>
      <c r="E80" s="19"/>
      <c r="F80" s="214"/>
      <c r="G80" s="214"/>
      <c r="H80" s="214"/>
      <c r="I80" s="180"/>
      <c r="J80" s="181"/>
      <c r="K80" s="193"/>
      <c r="L80" s="193"/>
      <c r="M80" s="193"/>
      <c r="N80" s="182"/>
      <c r="O80" s="183"/>
      <c r="P80" s="192"/>
      <c r="Q80" s="192"/>
      <c r="R80" s="192"/>
      <c r="S80" s="184"/>
      <c r="T80" s="185"/>
      <c r="U80" s="191"/>
      <c r="V80" s="191"/>
      <c r="W80" s="191"/>
      <c r="X80" s="176"/>
      <c r="Y80" s="177"/>
      <c r="Z80" s="59"/>
      <c r="AA80" s="188"/>
      <c r="AB80" s="189"/>
      <c r="AC80" s="60"/>
      <c r="AD80" s="178"/>
    </row>
    <row r="81" spans="1:30" ht="25.25" customHeight="1" x14ac:dyDescent="0.2">
      <c r="A81" s="158"/>
      <c r="B81" s="21"/>
      <c r="C81" s="215"/>
      <c r="D81" s="179"/>
      <c r="E81" s="19"/>
      <c r="F81" s="214"/>
      <c r="G81" s="214"/>
      <c r="H81" s="214"/>
      <c r="I81" s="180"/>
      <c r="J81" s="181"/>
      <c r="K81" s="193"/>
      <c r="L81" s="193"/>
      <c r="M81" s="193"/>
      <c r="N81" s="182"/>
      <c r="O81" s="183"/>
      <c r="P81" s="192"/>
      <c r="Q81" s="192"/>
      <c r="R81" s="192"/>
      <c r="S81" s="184"/>
      <c r="T81" s="185"/>
      <c r="U81" s="191"/>
      <c r="V81" s="191"/>
      <c r="W81" s="191"/>
      <c r="X81" s="176"/>
      <c r="Y81" s="177"/>
      <c r="Z81" s="59"/>
      <c r="AA81" s="188"/>
      <c r="AB81" s="189"/>
      <c r="AC81" s="60"/>
      <c r="AD81" s="178"/>
    </row>
    <row r="82" spans="1:30" ht="25.25" customHeight="1" x14ac:dyDescent="0.2">
      <c r="A82" s="158"/>
      <c r="B82" s="21"/>
      <c r="C82" s="215"/>
      <c r="D82" s="73"/>
      <c r="E82" s="19"/>
      <c r="F82" s="214"/>
      <c r="G82" s="214"/>
      <c r="H82" s="214"/>
      <c r="I82" s="74"/>
      <c r="J82" s="75"/>
      <c r="K82" s="193"/>
      <c r="L82" s="193"/>
      <c r="M82" s="193"/>
      <c r="N82" s="76"/>
      <c r="O82" s="77"/>
      <c r="P82" s="192"/>
      <c r="Q82" s="192"/>
      <c r="R82" s="192"/>
      <c r="S82" s="78"/>
      <c r="T82" s="79"/>
      <c r="U82" s="191"/>
      <c r="V82" s="191"/>
      <c r="W82" s="191"/>
      <c r="X82" s="85"/>
      <c r="Y82" s="86"/>
      <c r="Z82" s="59"/>
      <c r="AA82" s="80"/>
      <c r="AB82" s="81"/>
      <c r="AC82" s="60"/>
      <c r="AD82" s="87"/>
    </row>
    <row r="83" spans="1:30" ht="25.25" customHeight="1" x14ac:dyDescent="0.2">
      <c r="A83" s="158"/>
      <c r="B83" s="21"/>
      <c r="C83" s="215"/>
      <c r="D83" s="73"/>
      <c r="E83" s="19"/>
      <c r="F83" s="214"/>
      <c r="G83" s="214"/>
      <c r="H83" s="214"/>
      <c r="I83" s="74"/>
      <c r="J83" s="75"/>
      <c r="K83" s="193"/>
      <c r="L83" s="193"/>
      <c r="M83" s="193"/>
      <c r="N83" s="76"/>
      <c r="O83" s="77"/>
      <c r="P83" s="192"/>
      <c r="Q83" s="192"/>
      <c r="R83" s="192"/>
      <c r="S83" s="78"/>
      <c r="T83" s="79"/>
      <c r="U83" s="191"/>
      <c r="V83" s="191"/>
      <c r="W83" s="191"/>
      <c r="X83" s="85"/>
      <c r="Y83" s="86"/>
      <c r="Z83" s="59"/>
      <c r="AA83" s="80"/>
      <c r="AB83" s="81"/>
      <c r="AC83" s="60"/>
      <c r="AD83" s="87"/>
    </row>
    <row r="84" spans="1:30" ht="6" customHeight="1" x14ac:dyDescent="0.25">
      <c r="A84" s="159"/>
      <c r="B84" s="28"/>
      <c r="C84" s="29"/>
      <c r="D84" s="30"/>
      <c r="E84" s="25"/>
      <c r="F84" s="26"/>
      <c r="G84" s="26"/>
      <c r="H84" s="26"/>
      <c r="I84" s="27"/>
      <c r="J84" s="61"/>
      <c r="K84" s="62"/>
      <c r="L84" s="62"/>
      <c r="M84" s="62"/>
      <c r="N84" s="63"/>
      <c r="O84" s="64"/>
      <c r="P84" s="65"/>
      <c r="Q84" s="65"/>
      <c r="R84" s="65"/>
      <c r="S84" s="66"/>
      <c r="T84" s="67"/>
      <c r="U84" s="68"/>
      <c r="V84" s="68"/>
      <c r="W84" s="68"/>
      <c r="X84" s="69"/>
      <c r="Y84" s="70"/>
      <c r="Z84" s="82"/>
      <c r="AA84" s="154"/>
      <c r="AB84" s="155"/>
      <c r="AC84" s="70"/>
      <c r="AD84" s="71"/>
    </row>
    <row r="85" spans="1:30" ht="6" customHeight="1" x14ac:dyDescent="0.25">
      <c r="A85" s="194" t="s">
        <v>17</v>
      </c>
      <c r="B85" s="11"/>
      <c r="C85" s="12"/>
      <c r="D85" s="13"/>
      <c r="E85" s="14"/>
      <c r="F85" s="15"/>
      <c r="G85" s="15"/>
      <c r="H85" s="15"/>
      <c r="I85" s="16"/>
      <c r="J85" s="45"/>
      <c r="K85" s="46"/>
      <c r="L85" s="46"/>
      <c r="M85" s="46"/>
      <c r="N85" s="47"/>
      <c r="O85" s="48"/>
      <c r="P85" s="49"/>
      <c r="Q85" s="49"/>
      <c r="R85" s="49"/>
      <c r="S85" s="50"/>
      <c r="T85" s="51"/>
      <c r="U85" s="52"/>
      <c r="V85" s="52"/>
      <c r="W85" s="52"/>
      <c r="X85" s="53"/>
      <c r="Y85" s="54"/>
      <c r="Z85" s="83"/>
      <c r="AA85" s="186"/>
      <c r="AB85" s="187"/>
      <c r="AC85" s="54"/>
      <c r="AD85" s="57"/>
    </row>
    <row r="86" spans="1:30" ht="25.25" customHeight="1" x14ac:dyDescent="0.2">
      <c r="A86" s="158"/>
      <c r="B86" s="17">
        <f>VLOOKUP(C86,ControlPanel!$B$2:$D$11,3,FALSE)</f>
        <v>8</v>
      </c>
      <c r="C86" s="18" t="s">
        <v>8</v>
      </c>
      <c r="D86" s="179"/>
      <c r="E86" s="19"/>
      <c r="F86" s="214" t="s">
        <v>38</v>
      </c>
      <c r="G86" s="214"/>
      <c r="H86" s="214"/>
      <c r="I86" s="180"/>
      <c r="J86" s="181"/>
      <c r="K86" s="193" t="s">
        <v>39</v>
      </c>
      <c r="L86" s="193"/>
      <c r="M86" s="193"/>
      <c r="N86" s="182"/>
      <c r="O86" s="183"/>
      <c r="P86" s="192" t="s">
        <v>67</v>
      </c>
      <c r="Q86" s="192"/>
      <c r="R86" s="192"/>
      <c r="S86" s="184"/>
      <c r="T86" s="185"/>
      <c r="U86" s="191" t="s">
        <v>40</v>
      </c>
      <c r="V86" s="191"/>
      <c r="W86" s="191"/>
      <c r="X86" s="176"/>
      <c r="Y86" s="177"/>
      <c r="Z86" s="84">
        <v>0</v>
      </c>
      <c r="AA86" s="190">
        <v>0</v>
      </c>
      <c r="AB86" s="157"/>
      <c r="AC86" s="58">
        <f>Z86-AA86</f>
        <v>0</v>
      </c>
      <c r="AD86" s="178"/>
    </row>
    <row r="87" spans="1:30" ht="25.25" customHeight="1" x14ac:dyDescent="0.2">
      <c r="A87" s="158"/>
      <c r="B87" s="20"/>
      <c r="C87" s="215"/>
      <c r="D87" s="179"/>
      <c r="E87" s="19"/>
      <c r="F87" s="214"/>
      <c r="G87" s="214"/>
      <c r="H87" s="214"/>
      <c r="I87" s="180"/>
      <c r="J87" s="181"/>
      <c r="K87" s="193"/>
      <c r="L87" s="193"/>
      <c r="M87" s="193"/>
      <c r="N87" s="182"/>
      <c r="O87" s="183"/>
      <c r="P87" s="192"/>
      <c r="Q87" s="192"/>
      <c r="R87" s="192"/>
      <c r="S87" s="184"/>
      <c r="T87" s="185"/>
      <c r="U87" s="191"/>
      <c r="V87" s="191"/>
      <c r="W87" s="191"/>
      <c r="X87" s="176"/>
      <c r="Y87" s="177"/>
      <c r="Z87" s="59"/>
      <c r="AA87" s="188"/>
      <c r="AB87" s="189"/>
      <c r="AC87" s="60"/>
      <c r="AD87" s="178"/>
    </row>
    <row r="88" spans="1:30" ht="25.25" customHeight="1" x14ac:dyDescent="0.2">
      <c r="A88" s="158"/>
      <c r="B88" s="20"/>
      <c r="C88" s="215"/>
      <c r="D88" s="179"/>
      <c r="E88" s="19"/>
      <c r="F88" s="214"/>
      <c r="G88" s="214"/>
      <c r="H88" s="214"/>
      <c r="I88" s="180"/>
      <c r="J88" s="181"/>
      <c r="K88" s="193"/>
      <c r="L88" s="193"/>
      <c r="M88" s="193"/>
      <c r="N88" s="182"/>
      <c r="O88" s="183"/>
      <c r="P88" s="192"/>
      <c r="Q88" s="192"/>
      <c r="R88" s="192"/>
      <c r="S88" s="184"/>
      <c r="T88" s="185"/>
      <c r="U88" s="191"/>
      <c r="V88" s="191"/>
      <c r="W88" s="191"/>
      <c r="X88" s="176"/>
      <c r="Y88" s="177"/>
      <c r="Z88" s="59"/>
      <c r="AA88" s="188"/>
      <c r="AB88" s="189"/>
      <c r="AC88" s="60"/>
      <c r="AD88" s="178"/>
    </row>
    <row r="89" spans="1:30" ht="25.25" customHeight="1" x14ac:dyDescent="0.2">
      <c r="A89" s="158"/>
      <c r="B89" s="20"/>
      <c r="C89" s="215"/>
      <c r="D89" s="179"/>
      <c r="E89" s="19"/>
      <c r="F89" s="214"/>
      <c r="G89" s="214"/>
      <c r="H89" s="214"/>
      <c r="I89" s="180"/>
      <c r="J89" s="181"/>
      <c r="K89" s="193"/>
      <c r="L89" s="193"/>
      <c r="M89" s="193"/>
      <c r="N89" s="182"/>
      <c r="O89" s="183"/>
      <c r="P89" s="192"/>
      <c r="Q89" s="192"/>
      <c r="R89" s="192"/>
      <c r="S89" s="184"/>
      <c r="T89" s="185"/>
      <c r="U89" s="191"/>
      <c r="V89" s="191"/>
      <c r="W89" s="191"/>
      <c r="X89" s="176"/>
      <c r="Y89" s="177"/>
      <c r="Z89" s="59"/>
      <c r="AA89" s="188"/>
      <c r="AB89" s="189"/>
      <c r="AC89" s="60"/>
      <c r="AD89" s="178"/>
    </row>
    <row r="90" spans="1:30" ht="25.25" customHeight="1" x14ac:dyDescent="0.2">
      <c r="A90" s="158"/>
      <c r="B90" s="20"/>
      <c r="C90" s="215"/>
      <c r="D90" s="179"/>
      <c r="E90" s="19"/>
      <c r="F90" s="214"/>
      <c r="G90" s="214"/>
      <c r="H90" s="214"/>
      <c r="I90" s="180"/>
      <c r="J90" s="181"/>
      <c r="K90" s="193"/>
      <c r="L90" s="193"/>
      <c r="M90" s="193"/>
      <c r="N90" s="182"/>
      <c r="O90" s="183"/>
      <c r="P90" s="192"/>
      <c r="Q90" s="192"/>
      <c r="R90" s="192"/>
      <c r="S90" s="184"/>
      <c r="T90" s="185"/>
      <c r="U90" s="191"/>
      <c r="V90" s="191"/>
      <c r="W90" s="191"/>
      <c r="X90" s="176"/>
      <c r="Y90" s="177"/>
      <c r="Z90" s="59"/>
      <c r="AA90" s="188"/>
      <c r="AB90" s="189"/>
      <c r="AC90" s="60"/>
      <c r="AD90" s="178"/>
    </row>
    <row r="91" spans="1:30" ht="25.25" customHeight="1" x14ac:dyDescent="0.2">
      <c r="A91" s="158"/>
      <c r="B91" s="21"/>
      <c r="C91" s="215"/>
      <c r="D91" s="179"/>
      <c r="E91" s="19"/>
      <c r="F91" s="214"/>
      <c r="G91" s="214"/>
      <c r="H91" s="214"/>
      <c r="I91" s="180"/>
      <c r="J91" s="181"/>
      <c r="K91" s="193"/>
      <c r="L91" s="193"/>
      <c r="M91" s="193"/>
      <c r="N91" s="182"/>
      <c r="O91" s="183"/>
      <c r="P91" s="192"/>
      <c r="Q91" s="192"/>
      <c r="R91" s="192"/>
      <c r="S91" s="184"/>
      <c r="T91" s="185"/>
      <c r="U91" s="191"/>
      <c r="V91" s="191"/>
      <c r="W91" s="191"/>
      <c r="X91" s="176"/>
      <c r="Y91" s="177"/>
      <c r="Z91" s="59"/>
      <c r="AA91" s="188"/>
      <c r="AB91" s="189"/>
      <c r="AC91" s="60"/>
      <c r="AD91" s="178"/>
    </row>
    <row r="92" spans="1:30" ht="25.25" customHeight="1" x14ac:dyDescent="0.2">
      <c r="A92" s="158"/>
      <c r="B92" s="21"/>
      <c r="C92" s="215"/>
      <c r="D92" s="73"/>
      <c r="E92" s="19"/>
      <c r="F92" s="214"/>
      <c r="G92" s="214"/>
      <c r="H92" s="214"/>
      <c r="I92" s="74"/>
      <c r="J92" s="75"/>
      <c r="K92" s="193"/>
      <c r="L92" s="193"/>
      <c r="M92" s="193"/>
      <c r="N92" s="76"/>
      <c r="O92" s="77"/>
      <c r="P92" s="192"/>
      <c r="Q92" s="192"/>
      <c r="R92" s="192"/>
      <c r="S92" s="78"/>
      <c r="T92" s="79"/>
      <c r="U92" s="191"/>
      <c r="V92" s="191"/>
      <c r="W92" s="191"/>
      <c r="X92" s="85"/>
      <c r="Y92" s="86"/>
      <c r="Z92" s="59"/>
      <c r="AA92" s="80"/>
      <c r="AB92" s="81"/>
      <c r="AC92" s="60"/>
      <c r="AD92" s="87"/>
    </row>
    <row r="93" spans="1:30" ht="25.25" customHeight="1" x14ac:dyDescent="0.2">
      <c r="A93" s="158"/>
      <c r="B93" s="21"/>
      <c r="C93" s="215"/>
      <c r="D93" s="73"/>
      <c r="E93" s="19"/>
      <c r="F93" s="214"/>
      <c r="G93" s="214"/>
      <c r="H93" s="214"/>
      <c r="I93" s="74"/>
      <c r="J93" s="75"/>
      <c r="K93" s="193"/>
      <c r="L93" s="193"/>
      <c r="M93" s="193"/>
      <c r="N93" s="76"/>
      <c r="O93" s="77"/>
      <c r="P93" s="192"/>
      <c r="Q93" s="192"/>
      <c r="R93" s="192"/>
      <c r="S93" s="78"/>
      <c r="T93" s="79"/>
      <c r="U93" s="191"/>
      <c r="V93" s="191"/>
      <c r="W93" s="191"/>
      <c r="X93" s="85"/>
      <c r="Y93" s="86"/>
      <c r="Z93" s="59"/>
      <c r="AA93" s="80"/>
      <c r="AB93" s="81"/>
      <c r="AC93" s="60"/>
      <c r="AD93" s="87"/>
    </row>
    <row r="94" spans="1:30" ht="6" customHeight="1" x14ac:dyDescent="0.25">
      <c r="A94" s="158"/>
      <c r="B94" s="22"/>
      <c r="C94" s="23"/>
      <c r="D94" s="24"/>
      <c r="E94" s="25"/>
      <c r="F94" s="26"/>
      <c r="G94" s="26"/>
      <c r="H94" s="26"/>
      <c r="I94" s="27"/>
      <c r="J94" s="61"/>
      <c r="K94" s="62"/>
      <c r="L94" s="62"/>
      <c r="M94" s="62"/>
      <c r="N94" s="63"/>
      <c r="O94" s="64"/>
      <c r="P94" s="65"/>
      <c r="Q94" s="65"/>
      <c r="R94" s="65"/>
      <c r="S94" s="66"/>
      <c r="T94" s="67"/>
      <c r="U94" s="68"/>
      <c r="V94" s="68"/>
      <c r="W94" s="68"/>
      <c r="X94" s="69"/>
      <c r="Y94" s="70"/>
      <c r="Z94" s="82"/>
      <c r="AA94" s="154"/>
      <c r="AB94" s="155"/>
      <c r="AC94" s="70"/>
      <c r="AD94" s="71"/>
    </row>
    <row r="95" spans="1:30" ht="6" customHeight="1" x14ac:dyDescent="0.25">
      <c r="A95" s="158"/>
      <c r="B95" s="11"/>
      <c r="C95" s="12"/>
      <c r="D95" s="13"/>
      <c r="E95" s="14"/>
      <c r="F95" s="15"/>
      <c r="G95" s="15"/>
      <c r="H95" s="15"/>
      <c r="I95" s="16"/>
      <c r="J95" s="45"/>
      <c r="K95" s="46"/>
      <c r="L95" s="46"/>
      <c r="M95" s="46"/>
      <c r="N95" s="47"/>
      <c r="O95" s="48"/>
      <c r="P95" s="49"/>
      <c r="Q95" s="49"/>
      <c r="R95" s="49"/>
      <c r="S95" s="50"/>
      <c r="T95" s="51"/>
      <c r="U95" s="52"/>
      <c r="V95" s="52"/>
      <c r="W95" s="52"/>
      <c r="X95" s="53"/>
      <c r="Y95" s="54"/>
      <c r="Z95" s="83"/>
      <c r="AA95" s="186"/>
      <c r="AB95" s="187"/>
      <c r="AC95" s="54"/>
      <c r="AD95" s="57"/>
    </row>
    <row r="96" spans="1:30" ht="25.25" customHeight="1" x14ac:dyDescent="0.2">
      <c r="A96" s="158"/>
      <c r="B96" s="17">
        <f>VLOOKUP(C96,ControlPanel!$B$2:$D$11,3,FALSE)</f>
        <v>9</v>
      </c>
      <c r="C96" s="18" t="s">
        <v>9</v>
      </c>
      <c r="D96" s="179"/>
      <c r="E96" s="19"/>
      <c r="F96" s="214" t="s">
        <v>42</v>
      </c>
      <c r="G96" s="214"/>
      <c r="H96" s="214"/>
      <c r="I96" s="180"/>
      <c r="J96" s="181"/>
      <c r="K96" s="193" t="s">
        <v>43</v>
      </c>
      <c r="L96" s="193"/>
      <c r="M96" s="193"/>
      <c r="N96" s="182"/>
      <c r="O96" s="183"/>
      <c r="P96" s="192" t="s">
        <v>44</v>
      </c>
      <c r="Q96" s="192"/>
      <c r="R96" s="192"/>
      <c r="S96" s="184"/>
      <c r="T96" s="185"/>
      <c r="U96" s="191" t="s">
        <v>41</v>
      </c>
      <c r="V96" s="191"/>
      <c r="W96" s="191"/>
      <c r="X96" s="176"/>
      <c r="Y96" s="177"/>
      <c r="Z96" s="84">
        <v>0</v>
      </c>
      <c r="AA96" s="190">
        <v>0</v>
      </c>
      <c r="AB96" s="157"/>
      <c r="AC96" s="58">
        <f>Z96-AA96</f>
        <v>0</v>
      </c>
      <c r="AD96" s="178"/>
    </row>
    <row r="97" spans="1:30" ht="25.25" customHeight="1" x14ac:dyDescent="0.2">
      <c r="A97" s="158"/>
      <c r="B97" s="20"/>
      <c r="C97" s="215"/>
      <c r="D97" s="179"/>
      <c r="E97" s="19"/>
      <c r="F97" s="214"/>
      <c r="G97" s="214"/>
      <c r="H97" s="214"/>
      <c r="I97" s="180"/>
      <c r="J97" s="181"/>
      <c r="K97" s="193"/>
      <c r="L97" s="193"/>
      <c r="M97" s="193"/>
      <c r="N97" s="182"/>
      <c r="O97" s="183"/>
      <c r="P97" s="192"/>
      <c r="Q97" s="192"/>
      <c r="R97" s="192"/>
      <c r="S97" s="184"/>
      <c r="T97" s="185"/>
      <c r="U97" s="191"/>
      <c r="V97" s="191"/>
      <c r="W97" s="191"/>
      <c r="X97" s="176"/>
      <c r="Y97" s="177"/>
      <c r="Z97" s="59"/>
      <c r="AA97" s="188"/>
      <c r="AB97" s="189"/>
      <c r="AC97" s="60"/>
      <c r="AD97" s="178"/>
    </row>
    <row r="98" spans="1:30" ht="25.25" customHeight="1" x14ac:dyDescent="0.2">
      <c r="A98" s="158"/>
      <c r="B98" s="20"/>
      <c r="C98" s="215"/>
      <c r="D98" s="179"/>
      <c r="E98" s="19"/>
      <c r="F98" s="214"/>
      <c r="G98" s="214"/>
      <c r="H98" s="214"/>
      <c r="I98" s="180"/>
      <c r="J98" s="181"/>
      <c r="K98" s="193"/>
      <c r="L98" s="193"/>
      <c r="M98" s="193"/>
      <c r="N98" s="182"/>
      <c r="O98" s="183"/>
      <c r="P98" s="192"/>
      <c r="Q98" s="192"/>
      <c r="R98" s="192"/>
      <c r="S98" s="184"/>
      <c r="T98" s="185"/>
      <c r="U98" s="191"/>
      <c r="V98" s="191"/>
      <c r="W98" s="191"/>
      <c r="X98" s="176"/>
      <c r="Y98" s="177"/>
      <c r="Z98" s="59"/>
      <c r="AA98" s="188"/>
      <c r="AB98" s="189"/>
      <c r="AC98" s="60"/>
      <c r="AD98" s="178"/>
    </row>
    <row r="99" spans="1:30" ht="25.25" customHeight="1" x14ac:dyDescent="0.2">
      <c r="A99" s="158"/>
      <c r="B99" s="20"/>
      <c r="C99" s="215"/>
      <c r="D99" s="179"/>
      <c r="E99" s="19"/>
      <c r="F99" s="214"/>
      <c r="G99" s="214"/>
      <c r="H99" s="214"/>
      <c r="I99" s="180"/>
      <c r="J99" s="181"/>
      <c r="K99" s="193"/>
      <c r="L99" s="193"/>
      <c r="M99" s="193"/>
      <c r="N99" s="182"/>
      <c r="O99" s="183"/>
      <c r="P99" s="192"/>
      <c r="Q99" s="192"/>
      <c r="R99" s="192"/>
      <c r="S99" s="184"/>
      <c r="T99" s="185"/>
      <c r="U99" s="191"/>
      <c r="V99" s="191"/>
      <c r="W99" s="191"/>
      <c r="X99" s="176"/>
      <c r="Y99" s="177"/>
      <c r="Z99" s="59"/>
      <c r="AA99" s="188"/>
      <c r="AB99" s="189"/>
      <c r="AC99" s="60"/>
      <c r="AD99" s="178"/>
    </row>
    <row r="100" spans="1:30" ht="25.25" customHeight="1" x14ac:dyDescent="0.2">
      <c r="A100" s="158"/>
      <c r="B100" s="20"/>
      <c r="C100" s="215"/>
      <c r="D100" s="179"/>
      <c r="E100" s="19"/>
      <c r="F100" s="214"/>
      <c r="G100" s="214"/>
      <c r="H100" s="214"/>
      <c r="I100" s="180"/>
      <c r="J100" s="181"/>
      <c r="K100" s="193"/>
      <c r="L100" s="193"/>
      <c r="M100" s="193"/>
      <c r="N100" s="182"/>
      <c r="O100" s="183"/>
      <c r="P100" s="192"/>
      <c r="Q100" s="192"/>
      <c r="R100" s="192"/>
      <c r="S100" s="184"/>
      <c r="T100" s="185"/>
      <c r="U100" s="191"/>
      <c r="V100" s="191"/>
      <c r="W100" s="191"/>
      <c r="X100" s="176"/>
      <c r="Y100" s="177"/>
      <c r="Z100" s="59"/>
      <c r="AA100" s="188"/>
      <c r="AB100" s="189"/>
      <c r="AC100" s="60"/>
      <c r="AD100" s="178"/>
    </row>
    <row r="101" spans="1:30" ht="25.25" customHeight="1" x14ac:dyDescent="0.2">
      <c r="A101" s="158"/>
      <c r="B101" s="21"/>
      <c r="C101" s="215"/>
      <c r="D101" s="179"/>
      <c r="E101" s="19"/>
      <c r="F101" s="214"/>
      <c r="G101" s="214"/>
      <c r="H101" s="214"/>
      <c r="I101" s="180"/>
      <c r="J101" s="181"/>
      <c r="K101" s="193"/>
      <c r="L101" s="193"/>
      <c r="M101" s="193"/>
      <c r="N101" s="182"/>
      <c r="O101" s="183"/>
      <c r="P101" s="192"/>
      <c r="Q101" s="192"/>
      <c r="R101" s="192"/>
      <c r="S101" s="184"/>
      <c r="T101" s="185"/>
      <c r="U101" s="191"/>
      <c r="V101" s="191"/>
      <c r="W101" s="191"/>
      <c r="X101" s="176"/>
      <c r="Y101" s="177"/>
      <c r="Z101" s="59"/>
      <c r="AA101" s="188"/>
      <c r="AB101" s="189"/>
      <c r="AC101" s="60"/>
      <c r="AD101" s="178"/>
    </row>
    <row r="102" spans="1:30" ht="25.25" customHeight="1" x14ac:dyDescent="0.2">
      <c r="A102" s="158"/>
      <c r="B102" s="21"/>
      <c r="C102" s="215"/>
      <c r="D102" s="73"/>
      <c r="E102" s="19"/>
      <c r="F102" s="214"/>
      <c r="G102" s="214"/>
      <c r="H102" s="214"/>
      <c r="I102" s="74"/>
      <c r="J102" s="75"/>
      <c r="K102" s="193"/>
      <c r="L102" s="193"/>
      <c r="M102" s="193"/>
      <c r="N102" s="76"/>
      <c r="O102" s="77"/>
      <c r="P102" s="192"/>
      <c r="Q102" s="192"/>
      <c r="R102" s="192"/>
      <c r="S102" s="78"/>
      <c r="T102" s="79"/>
      <c r="U102" s="191"/>
      <c r="V102" s="191"/>
      <c r="W102" s="191"/>
      <c r="X102" s="85"/>
      <c r="Y102" s="86"/>
      <c r="Z102" s="59"/>
      <c r="AA102" s="80"/>
      <c r="AB102" s="81"/>
      <c r="AC102" s="60"/>
      <c r="AD102" s="87"/>
    </row>
    <row r="103" spans="1:30" ht="25.25" customHeight="1" x14ac:dyDescent="0.2">
      <c r="A103" s="158"/>
      <c r="B103" s="21"/>
      <c r="C103" s="215"/>
      <c r="D103" s="73"/>
      <c r="E103" s="19"/>
      <c r="F103" s="214"/>
      <c r="G103" s="214"/>
      <c r="H103" s="214"/>
      <c r="I103" s="74"/>
      <c r="J103" s="75"/>
      <c r="K103" s="193"/>
      <c r="L103" s="193"/>
      <c r="M103" s="193"/>
      <c r="N103" s="76"/>
      <c r="O103" s="77"/>
      <c r="P103" s="192"/>
      <c r="Q103" s="192"/>
      <c r="R103" s="192"/>
      <c r="S103" s="78"/>
      <c r="T103" s="79"/>
      <c r="U103" s="191"/>
      <c r="V103" s="191"/>
      <c r="W103" s="191"/>
      <c r="X103" s="85"/>
      <c r="Y103" s="86"/>
      <c r="Z103" s="59"/>
      <c r="AA103" s="80"/>
      <c r="AB103" s="81"/>
      <c r="AC103" s="60"/>
      <c r="AD103" s="87"/>
    </row>
    <row r="104" spans="1:30" ht="6" customHeight="1" x14ac:dyDescent="0.25">
      <c r="A104" s="158"/>
      <c r="B104" s="22"/>
      <c r="C104" s="23"/>
      <c r="D104" s="24"/>
      <c r="E104" s="25"/>
      <c r="F104" s="26"/>
      <c r="G104" s="26"/>
      <c r="H104" s="26"/>
      <c r="I104" s="27"/>
      <c r="J104" s="61"/>
      <c r="K104" s="62"/>
      <c r="L104" s="62"/>
      <c r="M104" s="62"/>
      <c r="N104" s="63"/>
      <c r="O104" s="64"/>
      <c r="P104" s="65"/>
      <c r="Q104" s="65"/>
      <c r="R104" s="65"/>
      <c r="S104" s="66"/>
      <c r="T104" s="67"/>
      <c r="U104" s="68"/>
      <c r="V104" s="68"/>
      <c r="W104" s="68"/>
      <c r="X104" s="69"/>
      <c r="Y104" s="70"/>
      <c r="Z104" s="82"/>
      <c r="AA104" s="154"/>
      <c r="AB104" s="155"/>
      <c r="AC104" s="70"/>
      <c r="AD104" s="71"/>
    </row>
    <row r="105" spans="1:30" ht="6" customHeight="1" x14ac:dyDescent="0.25">
      <c r="A105" s="158"/>
      <c r="B105" s="11"/>
      <c r="C105" s="12"/>
      <c r="D105" s="13"/>
      <c r="E105" s="14"/>
      <c r="F105" s="15"/>
      <c r="G105" s="15"/>
      <c r="H105" s="15"/>
      <c r="I105" s="16"/>
      <c r="J105" s="45"/>
      <c r="K105" s="46"/>
      <c r="L105" s="46"/>
      <c r="M105" s="46"/>
      <c r="N105" s="47"/>
      <c r="O105" s="48"/>
      <c r="P105" s="49"/>
      <c r="Q105" s="49"/>
      <c r="R105" s="49"/>
      <c r="S105" s="50"/>
      <c r="T105" s="51"/>
      <c r="U105" s="52"/>
      <c r="V105" s="52"/>
      <c r="W105" s="52"/>
      <c r="X105" s="53"/>
      <c r="Y105" s="54"/>
      <c r="Z105" s="83"/>
      <c r="AA105" s="186"/>
      <c r="AB105" s="187"/>
      <c r="AC105" s="54"/>
      <c r="AD105" s="57"/>
    </row>
    <row r="106" spans="1:30" ht="25.25" customHeight="1" x14ac:dyDescent="0.2">
      <c r="A106" s="158"/>
      <c r="B106" s="17">
        <f>VLOOKUP(C106,ControlPanel!$B$2:$D$11,3,FALSE)</f>
        <v>10</v>
      </c>
      <c r="C106" s="18" t="s">
        <v>10</v>
      </c>
      <c r="D106" s="179"/>
      <c r="E106" s="19"/>
      <c r="F106" s="214" t="s">
        <v>45</v>
      </c>
      <c r="G106" s="214"/>
      <c r="H106" s="214"/>
      <c r="I106" s="180"/>
      <c r="J106" s="181"/>
      <c r="K106" s="193" t="s">
        <v>46</v>
      </c>
      <c r="L106" s="193"/>
      <c r="M106" s="193"/>
      <c r="N106" s="182"/>
      <c r="O106" s="183"/>
      <c r="P106" s="192" t="s">
        <v>47</v>
      </c>
      <c r="Q106" s="192"/>
      <c r="R106" s="192"/>
      <c r="S106" s="184"/>
      <c r="T106" s="185"/>
      <c r="U106" s="191" t="s">
        <v>48</v>
      </c>
      <c r="V106" s="191"/>
      <c r="W106" s="191"/>
      <c r="X106" s="176"/>
      <c r="Y106" s="177"/>
      <c r="Z106" s="84">
        <v>0</v>
      </c>
      <c r="AA106" s="190">
        <v>0</v>
      </c>
      <c r="AB106" s="157"/>
      <c r="AC106" s="58">
        <f>Z106-AA106</f>
        <v>0</v>
      </c>
      <c r="AD106" s="178"/>
    </row>
    <row r="107" spans="1:30" ht="25.25" customHeight="1" x14ac:dyDescent="0.2">
      <c r="A107" s="158"/>
      <c r="B107" s="20"/>
      <c r="C107" s="215"/>
      <c r="D107" s="179"/>
      <c r="E107" s="19"/>
      <c r="F107" s="214"/>
      <c r="G107" s="214"/>
      <c r="H107" s="214"/>
      <c r="I107" s="180"/>
      <c r="J107" s="181"/>
      <c r="K107" s="193"/>
      <c r="L107" s="193"/>
      <c r="M107" s="193"/>
      <c r="N107" s="182"/>
      <c r="O107" s="183"/>
      <c r="P107" s="192"/>
      <c r="Q107" s="192"/>
      <c r="R107" s="192"/>
      <c r="S107" s="184"/>
      <c r="T107" s="185"/>
      <c r="U107" s="191"/>
      <c r="V107" s="191"/>
      <c r="W107" s="191"/>
      <c r="X107" s="176"/>
      <c r="Y107" s="177"/>
      <c r="Z107" s="59"/>
      <c r="AA107" s="188"/>
      <c r="AB107" s="189"/>
      <c r="AC107" s="60"/>
      <c r="AD107" s="178"/>
    </row>
    <row r="108" spans="1:30" ht="25.25" customHeight="1" x14ac:dyDescent="0.2">
      <c r="A108" s="158"/>
      <c r="B108" s="20"/>
      <c r="C108" s="215"/>
      <c r="D108" s="179"/>
      <c r="E108" s="19"/>
      <c r="F108" s="214"/>
      <c r="G108" s="214"/>
      <c r="H108" s="214"/>
      <c r="I108" s="180"/>
      <c r="J108" s="181"/>
      <c r="K108" s="193"/>
      <c r="L108" s="193"/>
      <c r="M108" s="193"/>
      <c r="N108" s="182"/>
      <c r="O108" s="183"/>
      <c r="P108" s="192"/>
      <c r="Q108" s="192"/>
      <c r="R108" s="192"/>
      <c r="S108" s="184"/>
      <c r="T108" s="185"/>
      <c r="U108" s="191"/>
      <c r="V108" s="191"/>
      <c r="W108" s="191"/>
      <c r="X108" s="176"/>
      <c r="Y108" s="177"/>
      <c r="Z108" s="59"/>
      <c r="AA108" s="188"/>
      <c r="AB108" s="189"/>
      <c r="AC108" s="60"/>
      <c r="AD108" s="178"/>
    </row>
    <row r="109" spans="1:30" ht="25.25" customHeight="1" x14ac:dyDescent="0.2">
      <c r="A109" s="158"/>
      <c r="B109" s="20"/>
      <c r="C109" s="215"/>
      <c r="D109" s="179"/>
      <c r="E109" s="19"/>
      <c r="F109" s="214"/>
      <c r="G109" s="214"/>
      <c r="H109" s="214"/>
      <c r="I109" s="180"/>
      <c r="J109" s="181"/>
      <c r="K109" s="193"/>
      <c r="L109" s="193"/>
      <c r="M109" s="193"/>
      <c r="N109" s="182"/>
      <c r="O109" s="183"/>
      <c r="P109" s="192"/>
      <c r="Q109" s="192"/>
      <c r="R109" s="192"/>
      <c r="S109" s="184"/>
      <c r="T109" s="185"/>
      <c r="U109" s="191"/>
      <c r="V109" s="191"/>
      <c r="W109" s="191"/>
      <c r="X109" s="176"/>
      <c r="Y109" s="177"/>
      <c r="Z109" s="59"/>
      <c r="AA109" s="188"/>
      <c r="AB109" s="189"/>
      <c r="AC109" s="60"/>
      <c r="AD109" s="178"/>
    </row>
    <row r="110" spans="1:30" ht="25.25" customHeight="1" x14ac:dyDescent="0.2">
      <c r="A110" s="158"/>
      <c r="B110" s="20"/>
      <c r="C110" s="215"/>
      <c r="D110" s="179"/>
      <c r="E110" s="19"/>
      <c r="F110" s="214"/>
      <c r="G110" s="214"/>
      <c r="H110" s="214"/>
      <c r="I110" s="180"/>
      <c r="J110" s="181"/>
      <c r="K110" s="193"/>
      <c r="L110" s="193"/>
      <c r="M110" s="193"/>
      <c r="N110" s="182"/>
      <c r="O110" s="183"/>
      <c r="P110" s="192"/>
      <c r="Q110" s="192"/>
      <c r="R110" s="192"/>
      <c r="S110" s="184"/>
      <c r="T110" s="185"/>
      <c r="U110" s="191"/>
      <c r="V110" s="191"/>
      <c r="W110" s="191"/>
      <c r="X110" s="176"/>
      <c r="Y110" s="177"/>
      <c r="Z110" s="59"/>
      <c r="AA110" s="188"/>
      <c r="AB110" s="189"/>
      <c r="AC110" s="60"/>
      <c r="AD110" s="178"/>
    </row>
    <row r="111" spans="1:30" ht="25.25" customHeight="1" x14ac:dyDescent="0.2">
      <c r="A111" s="158"/>
      <c r="B111" s="21"/>
      <c r="C111" s="215"/>
      <c r="D111" s="179"/>
      <c r="E111" s="19"/>
      <c r="F111" s="214"/>
      <c r="G111" s="214"/>
      <c r="H111" s="214"/>
      <c r="I111" s="180"/>
      <c r="J111" s="181"/>
      <c r="K111" s="193"/>
      <c r="L111" s="193"/>
      <c r="M111" s="193"/>
      <c r="N111" s="182"/>
      <c r="O111" s="183"/>
      <c r="P111" s="192"/>
      <c r="Q111" s="192"/>
      <c r="R111" s="192"/>
      <c r="S111" s="184"/>
      <c r="T111" s="185"/>
      <c r="U111" s="191"/>
      <c r="V111" s="191"/>
      <c r="W111" s="191"/>
      <c r="X111" s="176"/>
      <c r="Y111" s="177"/>
      <c r="Z111" s="59"/>
      <c r="AA111" s="188"/>
      <c r="AB111" s="189"/>
      <c r="AC111" s="60"/>
      <c r="AD111" s="178"/>
    </row>
    <row r="112" spans="1:30" ht="25.25" customHeight="1" x14ac:dyDescent="0.2">
      <c r="A112" s="158"/>
      <c r="B112" s="21"/>
      <c r="C112" s="215"/>
      <c r="D112" s="73"/>
      <c r="E112" s="19"/>
      <c r="F112" s="214"/>
      <c r="G112" s="214"/>
      <c r="H112" s="214"/>
      <c r="I112" s="74"/>
      <c r="J112" s="75"/>
      <c r="K112" s="193"/>
      <c r="L112" s="193"/>
      <c r="M112" s="193"/>
      <c r="N112" s="76"/>
      <c r="O112" s="77"/>
      <c r="P112" s="192"/>
      <c r="Q112" s="192"/>
      <c r="R112" s="192"/>
      <c r="S112" s="78"/>
      <c r="T112" s="79"/>
      <c r="U112" s="191"/>
      <c r="V112" s="191"/>
      <c r="W112" s="191"/>
      <c r="X112" s="85"/>
      <c r="Y112" s="86"/>
      <c r="Z112" s="59"/>
      <c r="AA112" s="80"/>
      <c r="AB112" s="81"/>
      <c r="AC112" s="60"/>
      <c r="AD112" s="87"/>
    </row>
    <row r="113" spans="1:30" ht="25.25" customHeight="1" x14ac:dyDescent="0.2">
      <c r="A113" s="158"/>
      <c r="B113" s="21"/>
      <c r="C113" s="215"/>
      <c r="D113" s="73"/>
      <c r="E113" s="19"/>
      <c r="F113" s="214"/>
      <c r="G113" s="214"/>
      <c r="H113" s="214"/>
      <c r="I113" s="74"/>
      <c r="J113" s="75"/>
      <c r="K113" s="193"/>
      <c r="L113" s="193"/>
      <c r="M113" s="193"/>
      <c r="N113" s="76"/>
      <c r="O113" s="77"/>
      <c r="P113" s="192"/>
      <c r="Q113" s="192"/>
      <c r="R113" s="192"/>
      <c r="S113" s="78"/>
      <c r="T113" s="79"/>
      <c r="U113" s="191"/>
      <c r="V113" s="191"/>
      <c r="W113" s="191"/>
      <c r="X113" s="85"/>
      <c r="Y113" s="86"/>
      <c r="Z113" s="59"/>
      <c r="AA113" s="80"/>
      <c r="AB113" s="81"/>
      <c r="AC113" s="60"/>
      <c r="AD113" s="87"/>
    </row>
    <row r="114" spans="1:30" ht="6" customHeight="1" x14ac:dyDescent="0.25">
      <c r="A114" s="159"/>
      <c r="B114" s="28"/>
      <c r="C114" s="29"/>
      <c r="D114" s="30"/>
      <c r="E114" s="25"/>
      <c r="F114" s="26"/>
      <c r="G114" s="26"/>
      <c r="H114" s="26"/>
      <c r="I114" s="27"/>
      <c r="J114" s="61"/>
      <c r="K114" s="62"/>
      <c r="L114" s="62"/>
      <c r="M114" s="62"/>
      <c r="N114" s="63"/>
      <c r="O114" s="64"/>
      <c r="P114" s="65"/>
      <c r="Q114" s="65"/>
      <c r="R114" s="65"/>
      <c r="S114" s="66"/>
      <c r="T114" s="67"/>
      <c r="U114" s="68"/>
      <c r="V114" s="68"/>
      <c r="W114" s="68"/>
      <c r="X114" s="69"/>
      <c r="Y114" s="70"/>
      <c r="Z114" s="82"/>
      <c r="AA114" s="154"/>
      <c r="AB114" s="155"/>
      <c r="AC114" s="70"/>
      <c r="AD114" s="71"/>
    </row>
    <row r="116" spans="1:30" x14ac:dyDescent="0.2">
      <c r="AD116" s="129"/>
    </row>
  </sheetData>
  <sheetProtection password="C5D2" sheet="1" objects="1" scenarios="1" formatColumns="0" formatRows="0" selectLockedCells="1"/>
  <mergeCells count="242">
    <mergeCell ref="A45:A54"/>
    <mergeCell ref="C107:C113"/>
    <mergeCell ref="F106:H113"/>
    <mergeCell ref="K106:M113"/>
    <mergeCell ref="P106:R113"/>
    <mergeCell ref="U106:W113"/>
    <mergeCell ref="C87:C93"/>
    <mergeCell ref="F86:H93"/>
    <mergeCell ref="K86:M93"/>
    <mergeCell ref="P86:R93"/>
    <mergeCell ref="U86:W93"/>
    <mergeCell ref="C97:C103"/>
    <mergeCell ref="F96:H103"/>
    <mergeCell ref="K96:M103"/>
    <mergeCell ref="P96:R103"/>
    <mergeCell ref="U96:W103"/>
    <mergeCell ref="D106:D111"/>
    <mergeCell ref="I106:I111"/>
    <mergeCell ref="J106:J111"/>
    <mergeCell ref="C67:C73"/>
    <mergeCell ref="F66:H73"/>
    <mergeCell ref="K66:M73"/>
    <mergeCell ref="P66:R73"/>
    <mergeCell ref="U66:W73"/>
    <mergeCell ref="C77:C83"/>
    <mergeCell ref="F76:H83"/>
    <mergeCell ref="K76:M83"/>
    <mergeCell ref="P76:R83"/>
    <mergeCell ref="U76:W83"/>
    <mergeCell ref="I76:I81"/>
    <mergeCell ref="J76:J81"/>
    <mergeCell ref="N76:N81"/>
    <mergeCell ref="O76:O81"/>
    <mergeCell ref="O66:O71"/>
    <mergeCell ref="F56:H63"/>
    <mergeCell ref="C57:C63"/>
    <mergeCell ref="C17:C23"/>
    <mergeCell ref="F16:H23"/>
    <mergeCell ref="K16:M23"/>
    <mergeCell ref="P16:R23"/>
    <mergeCell ref="U16:W23"/>
    <mergeCell ref="C27:C33"/>
    <mergeCell ref="F26:H33"/>
    <mergeCell ref="K26:M33"/>
    <mergeCell ref="P26:R33"/>
    <mergeCell ref="U26:W33"/>
    <mergeCell ref="C37:C43"/>
    <mergeCell ref="F36:H43"/>
    <mergeCell ref="K36:M43"/>
    <mergeCell ref="P36:R43"/>
    <mergeCell ref="U36:W43"/>
    <mergeCell ref="C47:C53"/>
    <mergeCell ref="F46:H53"/>
    <mergeCell ref="K46:M53"/>
    <mergeCell ref="P46:R53"/>
    <mergeCell ref="S46:S51"/>
    <mergeCell ref="T46:T51"/>
    <mergeCell ref="Z4:AC9"/>
    <mergeCell ref="P10:U12"/>
    <mergeCell ref="V10:W12"/>
    <mergeCell ref="AA110:AB110"/>
    <mergeCell ref="AA111:AB111"/>
    <mergeCell ref="AA114:AB114"/>
    <mergeCell ref="AA104:AB104"/>
    <mergeCell ref="AA105:AB105"/>
    <mergeCell ref="AA106:AB106"/>
    <mergeCell ref="AA107:AB107"/>
    <mergeCell ref="AA108:AB108"/>
    <mergeCell ref="AA109:AB109"/>
    <mergeCell ref="AA90:AB90"/>
    <mergeCell ref="AA91:AB91"/>
    <mergeCell ref="AA94:AB94"/>
    <mergeCell ref="AA95:AB95"/>
    <mergeCell ref="AA96:AB96"/>
    <mergeCell ref="AA97:AB97"/>
    <mergeCell ref="AA84:AB84"/>
    <mergeCell ref="AA85:AB85"/>
    <mergeCell ref="AA86:AB86"/>
    <mergeCell ref="AA87:AB87"/>
    <mergeCell ref="U56:W63"/>
    <mergeCell ref="AA55:AB55"/>
    <mergeCell ref="AA56:AB56"/>
    <mergeCell ref="AA57:AB57"/>
    <mergeCell ref="AA58:AB58"/>
    <mergeCell ref="AA59:AB59"/>
    <mergeCell ref="AA88:AB88"/>
    <mergeCell ref="AA76:AB76"/>
    <mergeCell ref="AA77:AB77"/>
    <mergeCell ref="AA78:AB78"/>
    <mergeCell ref="AA79:AB79"/>
    <mergeCell ref="AA80:AB80"/>
    <mergeCell ref="AA81:AB81"/>
    <mergeCell ref="AA68:AB68"/>
    <mergeCell ref="AA69:AB69"/>
    <mergeCell ref="AA70:AB70"/>
    <mergeCell ref="AA71:AB71"/>
    <mergeCell ref="AA74:AB74"/>
    <mergeCell ref="AA75:AB75"/>
    <mergeCell ref="X106:X111"/>
    <mergeCell ref="Y106:Y111"/>
    <mergeCell ref="AD106:AD111"/>
    <mergeCell ref="AA14:AB14"/>
    <mergeCell ref="AA17:AB17"/>
    <mergeCell ref="AA18:AB18"/>
    <mergeCell ref="AA19:AB19"/>
    <mergeCell ref="AA20:AB20"/>
    <mergeCell ref="N106:N111"/>
    <mergeCell ref="O106:O111"/>
    <mergeCell ref="S106:S111"/>
    <mergeCell ref="T106:T111"/>
    <mergeCell ref="S96:S101"/>
    <mergeCell ref="T96:T101"/>
    <mergeCell ref="O96:O101"/>
    <mergeCell ref="X96:X101"/>
    <mergeCell ref="Y96:Y101"/>
    <mergeCell ref="AD96:AD101"/>
    <mergeCell ref="AA98:AB98"/>
    <mergeCell ref="AA99:AB99"/>
    <mergeCell ref="AA100:AB100"/>
    <mergeCell ref="AA101:AB101"/>
    <mergeCell ref="AD86:AD91"/>
    <mergeCell ref="AA89:AB89"/>
    <mergeCell ref="AD76:AD81"/>
    <mergeCell ref="A85:A114"/>
    <mergeCell ref="D86:D91"/>
    <mergeCell ref="I86:I91"/>
    <mergeCell ref="J86:J91"/>
    <mergeCell ref="N86:N91"/>
    <mergeCell ref="O86:O91"/>
    <mergeCell ref="S76:S81"/>
    <mergeCell ref="T76:T81"/>
    <mergeCell ref="X76:X81"/>
    <mergeCell ref="Y76:Y81"/>
    <mergeCell ref="A55:A84"/>
    <mergeCell ref="D96:D101"/>
    <mergeCell ref="I96:I101"/>
    <mergeCell ref="J96:J101"/>
    <mergeCell ref="N96:N101"/>
    <mergeCell ref="S66:S71"/>
    <mergeCell ref="T66:T71"/>
    <mergeCell ref="X66:X71"/>
    <mergeCell ref="S86:S91"/>
    <mergeCell ref="T86:T91"/>
    <mergeCell ref="X86:X91"/>
    <mergeCell ref="Y86:Y91"/>
    <mergeCell ref="D76:D81"/>
    <mergeCell ref="X56:X61"/>
    <mergeCell ref="Y56:Y61"/>
    <mergeCell ref="AD56:AD61"/>
    <mergeCell ref="D66:D71"/>
    <mergeCell ref="I66:I71"/>
    <mergeCell ref="J66:J71"/>
    <mergeCell ref="N66:N71"/>
    <mergeCell ref="N56:N61"/>
    <mergeCell ref="O56:O61"/>
    <mergeCell ref="S56:S61"/>
    <mergeCell ref="T56:T61"/>
    <mergeCell ref="D56:D61"/>
    <mergeCell ref="I56:I61"/>
    <mergeCell ref="J56:J61"/>
    <mergeCell ref="Y66:Y71"/>
    <mergeCell ref="AD66:AD71"/>
    <mergeCell ref="AA60:AB60"/>
    <mergeCell ref="AA61:AB61"/>
    <mergeCell ref="AA64:AB64"/>
    <mergeCell ref="AA65:AB65"/>
    <mergeCell ref="AA66:AB66"/>
    <mergeCell ref="AA67:AB67"/>
    <mergeCell ref="P56:R63"/>
    <mergeCell ref="K56:M63"/>
    <mergeCell ref="AD46:AD51"/>
    <mergeCell ref="AA51:AB51"/>
    <mergeCell ref="AD36:AD41"/>
    <mergeCell ref="D46:D51"/>
    <mergeCell ref="I46:I51"/>
    <mergeCell ref="J46:J51"/>
    <mergeCell ref="N46:N51"/>
    <mergeCell ref="O46:O51"/>
    <mergeCell ref="S36:S41"/>
    <mergeCell ref="T36:T41"/>
    <mergeCell ref="X36:X41"/>
    <mergeCell ref="Y36:Y41"/>
    <mergeCell ref="AA46:AB46"/>
    <mergeCell ref="AA36:AB36"/>
    <mergeCell ref="AA49:AB49"/>
    <mergeCell ref="AA50:AB50"/>
    <mergeCell ref="U46:W53"/>
    <mergeCell ref="J36:J41"/>
    <mergeCell ref="N36:N41"/>
    <mergeCell ref="O36:O41"/>
    <mergeCell ref="AA45:AB45"/>
    <mergeCell ref="AA47:AB47"/>
    <mergeCell ref="AA48:AB48"/>
    <mergeCell ref="AA37:AB37"/>
    <mergeCell ref="AA34:AB34"/>
    <mergeCell ref="AA35:AB35"/>
    <mergeCell ref="D16:D21"/>
    <mergeCell ref="I16:I21"/>
    <mergeCell ref="J16:J21"/>
    <mergeCell ref="D36:D41"/>
    <mergeCell ref="I36:I41"/>
    <mergeCell ref="X46:X51"/>
    <mergeCell ref="Y46:Y51"/>
    <mergeCell ref="AA21:AB21"/>
    <mergeCell ref="AA24:AB24"/>
    <mergeCell ref="AA25:AB25"/>
    <mergeCell ref="AA26:AB26"/>
    <mergeCell ref="AA27:AB27"/>
    <mergeCell ref="AA28:AB28"/>
    <mergeCell ref="AA38:AB38"/>
    <mergeCell ref="AA39:AB39"/>
    <mergeCell ref="AA40:AB40"/>
    <mergeCell ref="AA41:AB41"/>
    <mergeCell ref="AA44:AB44"/>
    <mergeCell ref="AA29:AB29"/>
    <mergeCell ref="AA30:AB30"/>
    <mergeCell ref="AA31:AB31"/>
    <mergeCell ref="O26:O31"/>
    <mergeCell ref="AA54:AB54"/>
    <mergeCell ref="AA16:AB16"/>
    <mergeCell ref="A16:A44"/>
    <mergeCell ref="Z3:AC3"/>
    <mergeCell ref="AB10:AD10"/>
    <mergeCell ref="Y10:AA10"/>
    <mergeCell ref="AB11:AD12"/>
    <mergeCell ref="Y11:AA12"/>
    <mergeCell ref="X16:X21"/>
    <mergeCell ref="Y16:Y21"/>
    <mergeCell ref="AD16:AD21"/>
    <mergeCell ref="D26:D31"/>
    <mergeCell ref="I26:I31"/>
    <mergeCell ref="J26:J31"/>
    <mergeCell ref="N26:N31"/>
    <mergeCell ref="N16:N21"/>
    <mergeCell ref="O16:O21"/>
    <mergeCell ref="S16:S21"/>
    <mergeCell ref="T16:T21"/>
    <mergeCell ref="Y26:Y31"/>
    <mergeCell ref="AD26:AD31"/>
    <mergeCell ref="S26:S31"/>
    <mergeCell ref="T26:T31"/>
    <mergeCell ref="X26:X31"/>
  </mergeCells>
  <phoneticPr fontId="3" type="noConversion"/>
  <printOptions horizontalCentered="1"/>
  <pageMargins left="0.75" right="0.75" top="0.75" bottom="0.75" header="0.5" footer="0.5"/>
  <pageSetup scale="49" fitToHeight="0" orientation="landscape" r:id="rId1"/>
  <headerFooter differentFirst="1">
    <oddHeader>&amp;L&amp;"Calibri,Regular"&amp;14&amp;K676767LifeScore™ Assessment&amp;R&amp;I &amp;14 &amp;K676767 Version 1.8</oddHeader>
    <oddFooter>&amp;L&amp;"Calibri (Body),Regular"&amp;11&amp;K01+046© 2015, Intentional Leadership, LLC. &amp;10All Rights Reserved.&amp;R&amp;"Calibri (Body),Regular"&amp;11&amp;K01+047Page &amp;P</oddFooter>
    <firstFooter>&amp;L&amp;"Calibri (Body),Regular"&amp;11&amp;K01+046© 2015, Intentional Leadership, LLC. All Rights Reserved.&amp;R&amp;"Calibri (Body),Regular"&amp;11&amp;K01+046Page &amp;P</firstFooter>
  </headerFooter>
  <rowBreaks count="2" manualBreakCount="2">
    <brk id="44" max="16383" man="1"/>
    <brk id="84" max="16383" man="1"/>
  </row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K16"/>
  <sheetViews>
    <sheetView workbookViewId="0">
      <selection activeCell="B15" sqref="B15"/>
    </sheetView>
  </sheetViews>
  <sheetFormatPr baseColWidth="10" defaultColWidth="8.83203125" defaultRowHeight="18" customHeight="1" x14ac:dyDescent="0.2"/>
  <cols>
    <col min="1" max="1" width="10.6640625" style="72" bestFit="1" customWidth="1"/>
    <col min="2" max="2" width="13" style="72" bestFit="1" customWidth="1"/>
    <col min="3" max="3" width="8.83203125" style="72"/>
    <col min="4" max="4" width="13.6640625" style="72" bestFit="1" customWidth="1"/>
    <col min="5" max="16384" width="8.83203125" style="72"/>
  </cols>
  <sheetData>
    <row r="1" spans="1:11" ht="18" customHeight="1" x14ac:dyDescent="0.25">
      <c r="A1" s="72" t="s">
        <v>52</v>
      </c>
      <c r="C1" s="72" t="s">
        <v>54</v>
      </c>
      <c r="D1" s="72" t="s">
        <v>53</v>
      </c>
      <c r="E1" s="72" t="s">
        <v>55</v>
      </c>
      <c r="F1" s="72" t="s">
        <v>56</v>
      </c>
      <c r="G1" s="72" t="s">
        <v>58</v>
      </c>
      <c r="K1" s="72" t="s">
        <v>54</v>
      </c>
    </row>
    <row r="2" spans="1:11" ht="18" customHeight="1" x14ac:dyDescent="0.25">
      <c r="A2" s="72">
        <v>1</v>
      </c>
      <c r="B2" s="72" t="s">
        <v>2</v>
      </c>
      <c r="C2" s="72" t="b">
        <v>1</v>
      </c>
      <c r="D2" s="72">
        <f>IF(C2,DCOUNTA($A$1:C2,3,$K$1:$K$2),"")</f>
        <v>1</v>
      </c>
      <c r="E2" s="72">
        <v>15</v>
      </c>
      <c r="F2" s="72">
        <v>24</v>
      </c>
      <c r="G2" s="72">
        <v>16</v>
      </c>
      <c r="K2" s="72" t="b">
        <v>1</v>
      </c>
    </row>
    <row r="3" spans="1:11" ht="18" customHeight="1" x14ac:dyDescent="0.25">
      <c r="A3" s="72">
        <v>2</v>
      </c>
      <c r="B3" s="72" t="s">
        <v>3</v>
      </c>
      <c r="C3" s="72" t="b">
        <v>1</v>
      </c>
      <c r="D3" s="72">
        <f>IF(C3,DCOUNTA($A$1:C3,3,$K$1:$K$2),"")</f>
        <v>2</v>
      </c>
      <c r="E3" s="72">
        <f>E2+10</f>
        <v>25</v>
      </c>
      <c r="F3" s="72">
        <f>F2+10</f>
        <v>34</v>
      </c>
      <c r="G3" s="72">
        <f>G2+10</f>
        <v>26</v>
      </c>
    </row>
    <row r="4" spans="1:11" ht="18" customHeight="1" x14ac:dyDescent="0.25">
      <c r="A4" s="72">
        <v>3</v>
      </c>
      <c r="B4" s="72" t="s">
        <v>18</v>
      </c>
      <c r="C4" s="72" t="b">
        <v>1</v>
      </c>
      <c r="D4" s="72">
        <f>IF(C4,DCOUNTA($A$1:C4,3,$K$1:$K$2),"")</f>
        <v>3</v>
      </c>
      <c r="E4" s="72">
        <f t="shared" ref="E4:E11" si="0">E3+10</f>
        <v>35</v>
      </c>
      <c r="F4" s="72">
        <f t="shared" ref="F4:F11" si="1">F3+10</f>
        <v>44</v>
      </c>
      <c r="G4" s="72">
        <f t="shared" ref="G4:G11" si="2">G3+10</f>
        <v>36</v>
      </c>
    </row>
    <row r="5" spans="1:11" ht="18" customHeight="1" x14ac:dyDescent="0.25">
      <c r="A5" s="72">
        <v>4</v>
      </c>
      <c r="B5" s="72" t="s">
        <v>4</v>
      </c>
      <c r="C5" s="72" t="b">
        <v>1</v>
      </c>
      <c r="D5" s="72">
        <f>IF(C5,DCOUNTA($A$1:C5,3,$K$1:$K$2),"")</f>
        <v>4</v>
      </c>
      <c r="E5" s="72">
        <f t="shared" si="0"/>
        <v>45</v>
      </c>
      <c r="F5" s="72">
        <f t="shared" si="1"/>
        <v>54</v>
      </c>
      <c r="G5" s="72">
        <f t="shared" si="2"/>
        <v>46</v>
      </c>
    </row>
    <row r="6" spans="1:11" ht="18" customHeight="1" x14ac:dyDescent="0.25">
      <c r="A6" s="72">
        <v>5</v>
      </c>
      <c r="B6" s="72" t="s">
        <v>5</v>
      </c>
      <c r="C6" s="72" t="b">
        <v>1</v>
      </c>
      <c r="D6" s="72">
        <f>IF(C6,DCOUNTA($A$1:C6,3,$K$1:$K$2),"")</f>
        <v>5</v>
      </c>
      <c r="E6" s="72">
        <f t="shared" si="0"/>
        <v>55</v>
      </c>
      <c r="F6" s="72">
        <f t="shared" si="1"/>
        <v>64</v>
      </c>
      <c r="G6" s="72">
        <f t="shared" si="2"/>
        <v>56</v>
      </c>
    </row>
    <row r="7" spans="1:11" ht="18" customHeight="1" x14ac:dyDescent="0.25">
      <c r="A7" s="72">
        <v>6</v>
      </c>
      <c r="B7" s="72" t="s">
        <v>6</v>
      </c>
      <c r="C7" s="72" t="b">
        <v>1</v>
      </c>
      <c r="D7" s="72">
        <f>IF(C7,DCOUNTA($A$1:C7,3,$K$1:$K$2),"")</f>
        <v>6</v>
      </c>
      <c r="E7" s="72">
        <f t="shared" si="0"/>
        <v>65</v>
      </c>
      <c r="F7" s="72">
        <f t="shared" si="1"/>
        <v>74</v>
      </c>
      <c r="G7" s="72">
        <f t="shared" si="2"/>
        <v>66</v>
      </c>
    </row>
    <row r="8" spans="1:11" ht="18" customHeight="1" x14ac:dyDescent="0.25">
      <c r="A8" s="72">
        <v>7</v>
      </c>
      <c r="B8" s="72" t="s">
        <v>7</v>
      </c>
      <c r="C8" s="72" t="b">
        <v>1</v>
      </c>
      <c r="D8" s="72">
        <f>IF(C8,DCOUNTA($A$1:C8,3,$K$1:$K$2),"")</f>
        <v>7</v>
      </c>
      <c r="E8" s="72">
        <f t="shared" si="0"/>
        <v>75</v>
      </c>
      <c r="F8" s="72">
        <f t="shared" si="1"/>
        <v>84</v>
      </c>
      <c r="G8" s="72">
        <f t="shared" si="2"/>
        <v>76</v>
      </c>
    </row>
    <row r="9" spans="1:11" ht="18" customHeight="1" x14ac:dyDescent="0.25">
      <c r="A9" s="72">
        <v>8</v>
      </c>
      <c r="B9" s="72" t="s">
        <v>8</v>
      </c>
      <c r="C9" s="72" t="b">
        <v>1</v>
      </c>
      <c r="D9" s="72">
        <f>IF(C9,DCOUNTA($A$1:C9,3,$K$1:$K$2),"")</f>
        <v>8</v>
      </c>
      <c r="E9" s="72">
        <f t="shared" si="0"/>
        <v>85</v>
      </c>
      <c r="F9" s="72">
        <f t="shared" si="1"/>
        <v>94</v>
      </c>
      <c r="G9" s="72">
        <f t="shared" si="2"/>
        <v>86</v>
      </c>
    </row>
    <row r="10" spans="1:11" ht="18" customHeight="1" x14ac:dyDescent="0.25">
      <c r="A10" s="72">
        <v>9</v>
      </c>
      <c r="B10" s="72" t="s">
        <v>9</v>
      </c>
      <c r="C10" s="72" t="b">
        <v>1</v>
      </c>
      <c r="D10" s="72">
        <f>IF(C10,DCOUNTA($A$1:C10,3,$K$1:$K$2),"")</f>
        <v>9</v>
      </c>
      <c r="E10" s="72">
        <f t="shared" si="0"/>
        <v>95</v>
      </c>
      <c r="F10" s="72">
        <f t="shared" si="1"/>
        <v>104</v>
      </c>
      <c r="G10" s="72">
        <f t="shared" si="2"/>
        <v>96</v>
      </c>
    </row>
    <row r="11" spans="1:11" ht="18" customHeight="1" x14ac:dyDescent="0.25">
      <c r="A11" s="72">
        <v>10</v>
      </c>
      <c r="B11" s="72" t="s">
        <v>10</v>
      </c>
      <c r="C11" s="72" t="b">
        <v>1</v>
      </c>
      <c r="D11" s="72">
        <f>IF(C11,DCOUNTA($A$1:C11,3,$K$1:$K$2),"")</f>
        <v>10</v>
      </c>
      <c r="E11" s="72">
        <f t="shared" si="0"/>
        <v>105</v>
      </c>
      <c r="F11" s="72">
        <f t="shared" si="1"/>
        <v>114</v>
      </c>
      <c r="G11" s="72">
        <f t="shared" si="2"/>
        <v>106</v>
      </c>
    </row>
    <row r="14" spans="1:11" ht="18" customHeight="1" x14ac:dyDescent="0.25">
      <c r="A14" s="72" t="s">
        <v>91</v>
      </c>
      <c r="B14" s="72">
        <v>1.8</v>
      </c>
    </row>
    <row r="15" spans="1:11" ht="18" customHeight="1" x14ac:dyDescent="0.25">
      <c r="A15" s="72" t="s">
        <v>57</v>
      </c>
      <c r="B15" s="72">
        <v>0</v>
      </c>
    </row>
    <row r="16" spans="1:11" ht="18" customHeight="1" x14ac:dyDescent="0.25">
      <c r="A16" s="72" t="s">
        <v>92</v>
      </c>
      <c r="B16" s="72">
        <f>COUNT(D2:D11)</f>
        <v>10</v>
      </c>
    </row>
  </sheetData>
  <pageMargins left="0.7" right="0.7" top="0.75" bottom="0.75" header="0.3" footer="0.3"/>
  <pageSetup orientation="portrait" horizontalDpi="0" verticalDpi="0" r:id="rId1"/>
  <headerFooter>
    <oddHeader>&amp;R&amp;I &amp;14 Version 1.7</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C11"/>
  <sheetViews>
    <sheetView workbookViewId="0"/>
  </sheetViews>
  <sheetFormatPr baseColWidth="10" defaultColWidth="8.83203125" defaultRowHeight="16" x14ac:dyDescent="0.2"/>
  <cols>
    <col min="1" max="1" width="13" bestFit="1" customWidth="1"/>
  </cols>
  <sheetData>
    <row r="1" spans="1:3" x14ac:dyDescent="0.25">
      <c r="B1" t="s">
        <v>0</v>
      </c>
      <c r="C1" t="s">
        <v>1</v>
      </c>
    </row>
    <row r="2" spans="1:3" x14ac:dyDescent="0.25">
      <c r="A2" t="s">
        <v>2</v>
      </c>
      <c r="B2">
        <v>9</v>
      </c>
      <c r="C2">
        <v>8</v>
      </c>
    </row>
    <row r="3" spans="1:3" x14ac:dyDescent="0.25">
      <c r="A3" t="s">
        <v>3</v>
      </c>
      <c r="B3">
        <v>9</v>
      </c>
      <c r="C3">
        <v>11</v>
      </c>
    </row>
    <row r="4" spans="1:3" x14ac:dyDescent="0.25">
      <c r="A4" t="s">
        <v>18</v>
      </c>
      <c r="B4">
        <v>9</v>
      </c>
      <c r="C4">
        <v>10</v>
      </c>
    </row>
    <row r="5" spans="1:3" x14ac:dyDescent="0.25">
      <c r="A5" t="s">
        <v>4</v>
      </c>
      <c r="B5">
        <v>10</v>
      </c>
      <c r="C5">
        <v>10</v>
      </c>
    </row>
    <row r="6" spans="1:3" x14ac:dyDescent="0.25">
      <c r="A6" t="s">
        <v>5</v>
      </c>
      <c r="B6">
        <v>9</v>
      </c>
      <c r="C6">
        <v>10</v>
      </c>
    </row>
    <row r="7" spans="1:3" x14ac:dyDescent="0.25">
      <c r="A7" t="s">
        <v>6</v>
      </c>
      <c r="B7">
        <v>9</v>
      </c>
      <c r="C7">
        <v>8</v>
      </c>
    </row>
    <row r="8" spans="1:3" x14ac:dyDescent="0.25">
      <c r="A8" t="s">
        <v>7</v>
      </c>
      <c r="B8">
        <v>10</v>
      </c>
      <c r="C8">
        <v>8</v>
      </c>
    </row>
    <row r="9" spans="1:3" x14ac:dyDescent="0.25">
      <c r="A9" t="s">
        <v>8</v>
      </c>
      <c r="B9">
        <v>11</v>
      </c>
      <c r="C9">
        <v>9</v>
      </c>
    </row>
    <row r="10" spans="1:3" x14ac:dyDescent="0.25">
      <c r="A10" t="s">
        <v>9</v>
      </c>
      <c r="B10">
        <v>7</v>
      </c>
      <c r="C10">
        <v>9</v>
      </c>
    </row>
    <row r="11" spans="1:3" x14ac:dyDescent="0.25">
      <c r="A11" t="s">
        <v>10</v>
      </c>
      <c r="B11">
        <v>10</v>
      </c>
      <c r="C11">
        <v>8</v>
      </c>
    </row>
  </sheetData>
  <pageMargins left="0.7" right="0.7" top="0.75" bottom="0.75" header="0.3" footer="0.3"/>
  <pageSetup orientation="portrait" horizontalDpi="0" verticalDpi="0" r:id="rId1"/>
  <headerFooter>
    <oddHeader>&amp;R&amp;I &amp;14 Version 1.7</oddHeader>
  </headerFooter>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Start Here</vt:lpstr>
      <vt:lpstr>Assessment</vt:lpstr>
      <vt:lpstr>ControlPanel</vt:lpstr>
      <vt:lpstr>RadarChart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Michael Hyatt</cp:lastModifiedBy>
  <cp:lastPrinted>2015-11-29T02:43:00Z</cp:lastPrinted>
  <dcterms:created xsi:type="dcterms:W3CDTF">2015-10-20T23:19:50Z</dcterms:created>
  <dcterms:modified xsi:type="dcterms:W3CDTF">2015-11-30T16:43:41Z</dcterms:modified>
</cp:coreProperties>
</file>